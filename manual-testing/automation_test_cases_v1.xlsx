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SQA AUTOMATION PROJECT\"/>
    </mc:Choice>
  </mc:AlternateContent>
  <xr:revisionPtr revIDLastSave="0" documentId="8_{CAA3CC18-E756-4E45-94A6-94AD097E37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Homep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16" i="1" s="1"/>
  <c r="B5" i="1"/>
  <c r="B15" i="1" l="1"/>
  <c r="B17" i="1"/>
  <c r="B18" i="1"/>
</calcChain>
</file>

<file path=xl/sharedStrings.xml><?xml version="1.0" encoding="utf-8"?>
<sst xmlns="http://schemas.openxmlformats.org/spreadsheetml/2006/main" count="268" uniqueCount="153">
  <si>
    <t>Automation Exercise QA Dashboard</t>
  </si>
  <si>
    <t>Feature Summary</t>
  </si>
  <si>
    <t>Sheet</t>
  </si>
  <si>
    <t>Test Cases</t>
  </si>
  <si>
    <t>Smoke</t>
  </si>
  <si>
    <t>Regression</t>
  </si>
  <si>
    <t>Playwright Ready</t>
  </si>
  <si>
    <t>Execution Status</t>
  </si>
  <si>
    <t>Homepage</t>
  </si>
  <si>
    <t>Ready</t>
  </si>
  <si>
    <t>Signup_Login</t>
  </si>
  <si>
    <t>Products</t>
  </si>
  <si>
    <t>Cart</t>
  </si>
  <si>
    <t>Checkout</t>
  </si>
  <si>
    <t>Contact_Us</t>
  </si>
  <si>
    <t>Combined_Flows</t>
  </si>
  <si>
    <t>KPI Summary</t>
  </si>
  <si>
    <t>Total Test Cases</t>
  </si>
  <si>
    <t>Total Smoke Cases</t>
  </si>
  <si>
    <t>Total Regression Cases</t>
  </si>
  <si>
    <t>Automation Candidates</t>
  </si>
  <si>
    <t>Open Bugs</t>
  </si>
  <si>
    <t>Closed Bugs</t>
  </si>
  <si>
    <t>Traceability Planned</t>
  </si>
  <si>
    <t>Traceability Automated</t>
  </si>
  <si>
    <t>How to Use</t>
  </si>
  <si>
    <t>1. Use feature sheets to record Actual Result and Status during manual execution.</t>
  </si>
  <si>
    <t>2. Status cells have dropdowns: Pass, Fail, Blocked, Not Run.</t>
  </si>
  <si>
    <t>3. Priority is color coded: High=red, Medium=yellow, Low=green.</t>
  </si>
  <si>
    <t>4. Suite Tag marks each case as Smoke or Regression.</t>
  </si>
  <si>
    <t>5. Bug_Report sheet stores defects found during testing.</t>
  </si>
  <si>
    <t>6. Traceability sheet links test cases to future Playwright specs.</t>
  </si>
  <si>
    <t>Test Case ID</t>
  </si>
  <si>
    <t>Module</t>
  </si>
  <si>
    <t>Submodule</t>
  </si>
  <si>
    <t>Test Title</t>
  </si>
  <si>
    <t>Priority</t>
  </si>
  <si>
    <t>Type</t>
  </si>
  <si>
    <t>Suite Tag</t>
  </si>
  <si>
    <t>Preconditions</t>
  </si>
  <si>
    <t>Steps</t>
  </si>
  <si>
    <t>Expected Result</t>
  </si>
  <si>
    <t>Playwright Candidate</t>
  </si>
  <si>
    <t>Automation ID</t>
  </si>
  <si>
    <t>Actual Result</t>
  </si>
  <si>
    <t>Status</t>
  </si>
  <si>
    <t>HOME_001</t>
  </si>
  <si>
    <t>Load</t>
  </si>
  <si>
    <t>Homepage loads successfully</t>
  </si>
  <si>
    <t>High</t>
  </si>
  <si>
    <t>Positive</t>
  </si>
  <si>
    <t>Browser open</t>
  </si>
  <si>
    <t>Navigate to https://automationexercise.com</t>
  </si>
  <si>
    <t>Homepage loads without error and main header is visible</t>
  </si>
  <si>
    <t>Yes</t>
  </si>
  <si>
    <t>AUTO_HOMEPAGE_001</t>
  </si>
  <si>
    <t>HOME_002</t>
  </si>
  <si>
    <t>Header</t>
  </si>
  <si>
    <t>Site logo is visible</t>
  </si>
  <si>
    <t>UI</t>
  </si>
  <si>
    <t>Homepage open</t>
  </si>
  <si>
    <t>Observe header area</t>
  </si>
  <si>
    <t>Logo/brand image is visible</t>
  </si>
  <si>
    <t>AUTO_HOMEPAGE_002</t>
  </si>
  <si>
    <t>HOME_003</t>
  </si>
  <si>
    <t>Home menu item is visible</t>
  </si>
  <si>
    <t>Medium</t>
  </si>
  <si>
    <t>Check top navigation</t>
  </si>
  <si>
    <t>Home link is visible</t>
  </si>
  <si>
    <t>AUTO_HOMEPAGE_003</t>
  </si>
  <si>
    <t>HOME_004</t>
  </si>
  <si>
    <t>Products menu item is visible</t>
  </si>
  <si>
    <t>Products link is visible</t>
  </si>
  <si>
    <t>AUTO_HOMEPAGE_004</t>
  </si>
  <si>
    <t>HOME_005</t>
  </si>
  <si>
    <t>Cart menu item is visible</t>
  </si>
  <si>
    <t>Cart link is visible</t>
  </si>
  <si>
    <t>AUTO_HOMEPAGE_005</t>
  </si>
  <si>
    <t>HOME_006</t>
  </si>
  <si>
    <t>Signup/Login menu item is visible</t>
  </si>
  <si>
    <t>Signup / Login link is visible</t>
  </si>
  <si>
    <t>AUTO_HOMEPAGE_006</t>
  </si>
  <si>
    <t>HOME_007</t>
  </si>
  <si>
    <t>Contact us menu item is visible</t>
  </si>
  <si>
    <t>Contact us link is visible</t>
  </si>
  <si>
    <t>AUTO_HOMEPAGE_007</t>
  </si>
  <si>
    <t>HOME_008</t>
  </si>
  <si>
    <t>Navigation</t>
  </si>
  <si>
    <t>Products link opens products page</t>
  </si>
  <si>
    <t>Click Products</t>
  </si>
  <si>
    <t>Products page opens successfully</t>
  </si>
  <si>
    <t>AUTO_HOMEPAGE_008</t>
  </si>
  <si>
    <t>HOME_009</t>
  </si>
  <si>
    <t>Cart link opens cart page</t>
  </si>
  <si>
    <t>Click Cart</t>
  </si>
  <si>
    <t>Cart page opens successfully</t>
  </si>
  <si>
    <t>AUTO_HOMEPAGE_009</t>
  </si>
  <si>
    <t>HOME_010</t>
  </si>
  <si>
    <t>Signup/Login link opens auth page</t>
  </si>
  <si>
    <t>Click Signup / Login</t>
  </si>
  <si>
    <t>Signup/Login page opens successfully</t>
  </si>
  <si>
    <t>AUTO_HOMEPAGE_010</t>
  </si>
  <si>
    <t>HOME_011</t>
  </si>
  <si>
    <t>Contact us link opens contact page</t>
  </si>
  <si>
    <t>Click Contact us</t>
  </si>
  <si>
    <t>Contact us page opens successfully</t>
  </si>
  <si>
    <t>AUTO_HOMEPAGE_011</t>
  </si>
  <si>
    <t>HOME_012</t>
  </si>
  <si>
    <t>Homepage refresh keeps page stable</t>
  </si>
  <si>
    <t>Low</t>
  </si>
  <si>
    <t>Reliability</t>
  </si>
  <si>
    <t>Refresh browser page</t>
  </si>
  <si>
    <t>Homepage reloads correctly with no visual break</t>
  </si>
  <si>
    <t>AUTO_HOMEPAGE_012</t>
  </si>
  <si>
    <t>HOME_013</t>
  </si>
  <si>
    <t>Footer</t>
  </si>
  <si>
    <t>Footer section is visible</t>
  </si>
  <si>
    <t>Scroll to footer</t>
  </si>
  <si>
    <t>Footer is visible</t>
  </si>
  <si>
    <t>AUTO_HOMEPAGE_013</t>
  </si>
  <si>
    <t>HOME_014</t>
  </si>
  <si>
    <t>Scroll</t>
  </si>
  <si>
    <t>Scroll to footer and back to top manually</t>
  </si>
  <si>
    <t>Scroll down and back up</t>
  </si>
  <si>
    <t>Page remains stable while scrolling</t>
  </si>
  <si>
    <t>AUTO_HOMEPAGE_014</t>
  </si>
  <si>
    <t>HOME_015</t>
  </si>
  <si>
    <t>Responsive</t>
  </si>
  <si>
    <t>Desktop layout remains aligned</t>
  </si>
  <si>
    <t>Homepage open in desktop viewport</t>
  </si>
  <si>
    <t>Inspect hero, menu and cards</t>
  </si>
  <si>
    <t>Layout remains aligned without overlapping elements</t>
  </si>
  <si>
    <t>AUTO_HOMEPAGE_015</t>
  </si>
  <si>
    <t>HOME_016</t>
  </si>
  <si>
    <t>SEO/UI</t>
  </si>
  <si>
    <t>Page title is not empty</t>
  </si>
  <si>
    <t>Inspect browser tab title</t>
  </si>
  <si>
    <t>Page title is populated</t>
  </si>
  <si>
    <t>AUTO_HOMEPAGE_016</t>
  </si>
  <si>
    <t>HOME_017</t>
  </si>
  <si>
    <t>Broken Links</t>
  </si>
  <si>
    <t>Top navigation links do not open error page</t>
  </si>
  <si>
    <t>Open each top nav item one by one</t>
  </si>
  <si>
    <t>No 404/500 page is shown</t>
  </si>
  <si>
    <t>AUTO_HOMEPAGE_017</t>
  </si>
  <si>
    <t>HOME_018</t>
  </si>
  <si>
    <t>Authentication State</t>
  </si>
  <si>
    <t>Logged-in username appears after login</t>
  </si>
  <si>
    <t>State</t>
  </si>
  <si>
    <t>User has logged in</t>
  </si>
  <si>
    <t>Return to homepage</t>
  </si>
  <si>
    <t>Logged in as &lt;username&gt; text is shown</t>
  </si>
  <si>
    <t>AUTO_HOMEPAGE_018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</si>
</sst>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9"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workbookViewId="0"/>
  </sheetViews>
  <sheetFormatPr defaultRowHeight="14.4" x14ac:dyDescent="0.3"/>
  <cols>
    <col min="1" max="1" width="28" customWidth="1"/>
    <col min="2" max="6" width="18" customWidth="1"/>
  </cols>
  <sheetData>
    <row r="1" spans="1:6" x14ac:dyDescent="0.3">
      <c r="A1" s="6" t="s">
        <v>0</v>
      </c>
      <c r="B1" s="7"/>
      <c r="C1" s="7"/>
      <c r="D1" s="7"/>
      <c r="E1" s="7"/>
      <c r="F1" s="7"/>
    </row>
    <row r="3" spans="1:6" x14ac:dyDescent="0.3">
      <c r="A3" s="1" t="s">
        <v>1</v>
      </c>
    </row>
    <row r="4" spans="1: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3">
        <f>COUNTA(Homepage!A:A)-1</f>
        <v>18</v>
      </c>
      <c r="C5" s="3">
        <f>COUNTIF(Homepage!G:G,"Smoke")</f>
        <v>6</v>
      </c>
      <c r="D5" s="3">
        <f>COUNTIF(Homepage!G:G,"Regression")</f>
        <v>12</v>
      </c>
      <c r="E5" s="3">
        <f>COUNTIF(Homepage!K:K,"Yes")</f>
        <v>18</v>
      </c>
      <c r="F5" s="3" t="s">
        <v>9</v>
      </c>
    </row>
    <row r="6" spans="1:6" x14ac:dyDescent="0.3">
      <c r="A6" s="3" t="s">
        <v>10</v>
      </c>
      <c r="B6" s="3">
        <f>COUNTA(#REF!)-1</f>
        <v>0</v>
      </c>
      <c r="C6" s="3" t="e">
        <f>COUNTIF(#REF!,"Smoke")</f>
        <v>#REF!</v>
      </c>
      <c r="D6" s="3" t="e">
        <f>COUNTIF(#REF!,"Regression")</f>
        <v>#REF!</v>
      </c>
      <c r="E6" s="3" t="e">
        <f>COUNTIF(#REF!,"Yes")</f>
        <v>#REF!</v>
      </c>
      <c r="F6" s="3" t="s">
        <v>9</v>
      </c>
    </row>
    <row r="7" spans="1:6" x14ac:dyDescent="0.3">
      <c r="A7" s="3" t="s">
        <v>11</v>
      </c>
      <c r="B7" s="3">
        <f>COUNTA(#REF!)-1</f>
        <v>0</v>
      </c>
      <c r="C7" s="3" t="e">
        <f>COUNTIF(#REF!,"Smoke")</f>
        <v>#REF!</v>
      </c>
      <c r="D7" s="3" t="e">
        <f>COUNTIF(#REF!,"Regression")</f>
        <v>#REF!</v>
      </c>
      <c r="E7" s="3" t="e">
        <f>COUNTIF(#REF!,"Yes")</f>
        <v>#REF!</v>
      </c>
      <c r="F7" s="3" t="s">
        <v>9</v>
      </c>
    </row>
    <row r="8" spans="1:6" x14ac:dyDescent="0.3">
      <c r="A8" s="3" t="s">
        <v>12</v>
      </c>
      <c r="B8" s="3">
        <f>COUNTA(#REF!)-1</f>
        <v>0</v>
      </c>
      <c r="C8" s="3" t="e">
        <f>COUNTIF(#REF!,"Smoke")</f>
        <v>#REF!</v>
      </c>
      <c r="D8" s="3" t="e">
        <f>COUNTIF(#REF!,"Regression")</f>
        <v>#REF!</v>
      </c>
      <c r="E8" s="3" t="e">
        <f>COUNTIF(#REF!,"Yes")</f>
        <v>#REF!</v>
      </c>
      <c r="F8" s="3" t="s">
        <v>9</v>
      </c>
    </row>
    <row r="9" spans="1:6" x14ac:dyDescent="0.3">
      <c r="A9" s="3" t="s">
        <v>13</v>
      </c>
      <c r="B9" s="3">
        <f>COUNTA(#REF!)-1</f>
        <v>0</v>
      </c>
      <c r="C9" s="3" t="e">
        <f>COUNTIF(#REF!,"Smoke")</f>
        <v>#REF!</v>
      </c>
      <c r="D9" s="3" t="e">
        <f>COUNTIF(#REF!,"Regression")</f>
        <v>#REF!</v>
      </c>
      <c r="E9" s="3" t="e">
        <f>COUNTIF(#REF!,"Yes")</f>
        <v>#REF!</v>
      </c>
      <c r="F9" s="3" t="s">
        <v>9</v>
      </c>
    </row>
    <row r="10" spans="1:6" x14ac:dyDescent="0.3">
      <c r="A10" s="3" t="s">
        <v>14</v>
      </c>
      <c r="B10" s="3">
        <f>COUNTA(#REF!)-1</f>
        <v>0</v>
      </c>
      <c r="C10" s="3" t="e">
        <f>COUNTIF(#REF!,"Smoke")</f>
        <v>#REF!</v>
      </c>
      <c r="D10" s="3" t="e">
        <f>COUNTIF(#REF!,"Regression")</f>
        <v>#REF!</v>
      </c>
      <c r="E10" s="3" t="e">
        <f>COUNTIF(#REF!,"Yes")</f>
        <v>#REF!</v>
      </c>
      <c r="F10" s="3" t="s">
        <v>9</v>
      </c>
    </row>
    <row r="11" spans="1:6" x14ac:dyDescent="0.3">
      <c r="A11" s="3" t="s">
        <v>15</v>
      </c>
      <c r="B11" s="3">
        <f>COUNTA(#REF!)-1</f>
        <v>0</v>
      </c>
      <c r="C11" s="3" t="e">
        <f>COUNTIF(#REF!,"Smoke")</f>
        <v>#REF!</v>
      </c>
      <c r="D11" s="3" t="e">
        <f>COUNTIF(#REF!,"Regression")</f>
        <v>#REF!</v>
      </c>
      <c r="E11" s="3" t="e">
        <f>COUNTIF(#REF!,"Yes")</f>
        <v>#REF!</v>
      </c>
      <c r="F11" s="3" t="s">
        <v>9</v>
      </c>
    </row>
    <row r="14" spans="1:6" x14ac:dyDescent="0.3">
      <c r="A14" s="1" t="s">
        <v>16</v>
      </c>
    </row>
    <row r="15" spans="1:6" x14ac:dyDescent="0.3">
      <c r="A15" s="4" t="s">
        <v>17</v>
      </c>
      <c r="B15" s="3">
        <f>SUM(B5:B11)</f>
        <v>18</v>
      </c>
    </row>
    <row r="16" spans="1:6" x14ac:dyDescent="0.3">
      <c r="A16" s="4" t="s">
        <v>18</v>
      </c>
      <c r="B16" s="3" t="e">
        <f>SUM(C5:C11)</f>
        <v>#REF!</v>
      </c>
    </row>
    <row r="17" spans="1:2" x14ac:dyDescent="0.3">
      <c r="A17" s="4" t="s">
        <v>19</v>
      </c>
      <c r="B17" s="3" t="e">
        <f>SUM(D5:D11)</f>
        <v>#REF!</v>
      </c>
    </row>
    <row r="18" spans="1:2" x14ac:dyDescent="0.3">
      <c r="A18" s="4" t="s">
        <v>20</v>
      </c>
      <c r="B18" s="3" t="e">
        <f>SUM(E5:E11)</f>
        <v>#REF!</v>
      </c>
    </row>
    <row r="19" spans="1:2" x14ac:dyDescent="0.3">
      <c r="A19" s="4" t="s">
        <v>21</v>
      </c>
      <c r="B19" s="3" t="e">
        <f>COUNTIF(#REF!,"Open")</f>
        <v>#REF!</v>
      </c>
    </row>
    <row r="20" spans="1:2" x14ac:dyDescent="0.3">
      <c r="A20" s="4" t="s">
        <v>22</v>
      </c>
      <c r="B20" s="3" t="e">
        <f>COUNTIF(#REF!,"Closed")</f>
        <v>#REF!</v>
      </c>
    </row>
    <row r="21" spans="1:2" x14ac:dyDescent="0.3">
      <c r="A21" s="4" t="s">
        <v>23</v>
      </c>
      <c r="B21" s="3" t="e">
        <f>COUNTIF(#REF!,"Planned")</f>
        <v>#REF!</v>
      </c>
    </row>
    <row r="22" spans="1:2" x14ac:dyDescent="0.3">
      <c r="A22" s="4" t="s">
        <v>24</v>
      </c>
      <c r="B22" s="3" t="e">
        <f>COUNTIF(#REF!,"Automated")</f>
        <v>#REF!</v>
      </c>
    </row>
    <row r="24" spans="1:2" x14ac:dyDescent="0.3">
      <c r="A24" s="1" t="s">
        <v>25</v>
      </c>
    </row>
    <row r="25" spans="1:2" ht="43.2" x14ac:dyDescent="0.3">
      <c r="A25" s="3" t="s">
        <v>26</v>
      </c>
    </row>
    <row r="26" spans="1:2" ht="28.8" x14ac:dyDescent="0.3">
      <c r="A26" s="3" t="s">
        <v>27</v>
      </c>
    </row>
    <row r="27" spans="1:2" ht="43.2" x14ac:dyDescent="0.3">
      <c r="A27" s="3" t="s">
        <v>28</v>
      </c>
    </row>
    <row r="28" spans="1:2" ht="28.8" x14ac:dyDescent="0.3">
      <c r="A28" s="3" t="s">
        <v>29</v>
      </c>
    </row>
    <row r="29" spans="1:2" ht="28.8" x14ac:dyDescent="0.3">
      <c r="A29" s="3" t="s">
        <v>30</v>
      </c>
    </row>
    <row r="30" spans="1:2" ht="28.8" x14ac:dyDescent="0.3">
      <c r="A30" s="3" t="s">
        <v>31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4" customWidth="1"/>
    <col min="5" max="5" width="11" customWidth="1"/>
    <col min="6" max="7" width="14" customWidth="1"/>
    <col min="8" max="8" width="24" customWidth="1"/>
    <col min="9" max="9" width="55" customWidth="1"/>
    <col min="10" max="10" width="42" customWidth="1"/>
    <col min="11" max="12" width="18" customWidth="1"/>
    <col min="13" max="13" width="24" customWidth="1"/>
    <col min="14" max="14" width="12" customWidth="1"/>
  </cols>
  <sheetData>
    <row r="1" spans="1:14" ht="28.8" x14ac:dyDescent="0.3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</row>
    <row r="2" spans="1:14" ht="28.8" x14ac:dyDescent="0.3">
      <c r="A2" s="3" t="s">
        <v>46</v>
      </c>
      <c r="B2" s="3" t="s">
        <v>8</v>
      </c>
      <c r="C2" s="3" t="s">
        <v>47</v>
      </c>
      <c r="D2" s="3" t="s">
        <v>48</v>
      </c>
      <c r="E2" s="5" t="s">
        <v>49</v>
      </c>
      <c r="F2" s="5" t="s">
        <v>50</v>
      </c>
      <c r="G2" s="5" t="s">
        <v>4</v>
      </c>
      <c r="H2" s="3" t="s">
        <v>51</v>
      </c>
      <c r="I2" s="3" t="s">
        <v>52</v>
      </c>
      <c r="J2" s="3" t="s">
        <v>53</v>
      </c>
      <c r="K2" s="5" t="s">
        <v>54</v>
      </c>
      <c r="L2" s="3" t="s">
        <v>55</v>
      </c>
      <c r="M2" s="3"/>
      <c r="N2" s="5"/>
    </row>
    <row r="3" spans="1:14" ht="28.8" x14ac:dyDescent="0.3">
      <c r="A3" s="3" t="s">
        <v>56</v>
      </c>
      <c r="B3" s="3" t="s">
        <v>8</v>
      </c>
      <c r="C3" s="3" t="s">
        <v>57</v>
      </c>
      <c r="D3" s="3" t="s">
        <v>58</v>
      </c>
      <c r="E3" s="5" t="s">
        <v>49</v>
      </c>
      <c r="F3" s="5" t="s">
        <v>59</v>
      </c>
      <c r="G3" s="5" t="s">
        <v>4</v>
      </c>
      <c r="H3" s="3" t="s">
        <v>60</v>
      </c>
      <c r="I3" s="3" t="s">
        <v>61</v>
      </c>
      <c r="J3" s="3" t="s">
        <v>62</v>
      </c>
      <c r="K3" s="5" t="s">
        <v>54</v>
      </c>
      <c r="L3" s="3" t="s">
        <v>63</v>
      </c>
      <c r="M3" s="3"/>
      <c r="N3" s="5"/>
    </row>
    <row r="4" spans="1:14" ht="28.8" x14ac:dyDescent="0.3">
      <c r="A4" s="3" t="s">
        <v>64</v>
      </c>
      <c r="B4" s="3" t="s">
        <v>8</v>
      </c>
      <c r="C4" s="3" t="s">
        <v>57</v>
      </c>
      <c r="D4" s="3" t="s">
        <v>65</v>
      </c>
      <c r="E4" s="5" t="s">
        <v>66</v>
      </c>
      <c r="F4" s="5" t="s">
        <v>59</v>
      </c>
      <c r="G4" s="5" t="s">
        <v>5</v>
      </c>
      <c r="H4" s="3" t="s">
        <v>60</v>
      </c>
      <c r="I4" s="3" t="s">
        <v>67</v>
      </c>
      <c r="J4" s="3" t="s">
        <v>68</v>
      </c>
      <c r="K4" s="5" t="s">
        <v>54</v>
      </c>
      <c r="L4" s="3" t="s">
        <v>69</v>
      </c>
      <c r="M4" s="3"/>
      <c r="N4" s="5"/>
    </row>
    <row r="5" spans="1:14" ht="28.8" x14ac:dyDescent="0.3">
      <c r="A5" s="3" t="s">
        <v>70</v>
      </c>
      <c r="B5" s="3" t="s">
        <v>8</v>
      </c>
      <c r="C5" s="3" t="s">
        <v>57</v>
      </c>
      <c r="D5" s="3" t="s">
        <v>71</v>
      </c>
      <c r="E5" s="5" t="s">
        <v>66</v>
      </c>
      <c r="F5" s="5" t="s">
        <v>59</v>
      </c>
      <c r="G5" s="5" t="s">
        <v>5</v>
      </c>
      <c r="H5" s="3" t="s">
        <v>60</v>
      </c>
      <c r="I5" s="3" t="s">
        <v>67</v>
      </c>
      <c r="J5" s="3" t="s">
        <v>72</v>
      </c>
      <c r="K5" s="5" t="s">
        <v>54</v>
      </c>
      <c r="L5" s="3" t="s">
        <v>73</v>
      </c>
      <c r="M5" s="3"/>
      <c r="N5" s="5"/>
    </row>
    <row r="6" spans="1:14" ht="28.8" x14ac:dyDescent="0.3">
      <c r="A6" s="3" t="s">
        <v>74</v>
      </c>
      <c r="B6" s="3" t="s">
        <v>8</v>
      </c>
      <c r="C6" s="3" t="s">
        <v>57</v>
      </c>
      <c r="D6" s="3" t="s">
        <v>75</v>
      </c>
      <c r="E6" s="5" t="s">
        <v>66</v>
      </c>
      <c r="F6" s="5" t="s">
        <v>59</v>
      </c>
      <c r="G6" s="5" t="s">
        <v>5</v>
      </c>
      <c r="H6" s="3" t="s">
        <v>60</v>
      </c>
      <c r="I6" s="3" t="s">
        <v>67</v>
      </c>
      <c r="J6" s="3" t="s">
        <v>76</v>
      </c>
      <c r="K6" s="5" t="s">
        <v>54</v>
      </c>
      <c r="L6" s="3" t="s">
        <v>77</v>
      </c>
      <c r="M6" s="3"/>
      <c r="N6" s="5"/>
    </row>
    <row r="7" spans="1:14" ht="28.8" x14ac:dyDescent="0.3">
      <c r="A7" s="3" t="s">
        <v>78</v>
      </c>
      <c r="B7" s="3" t="s">
        <v>8</v>
      </c>
      <c r="C7" s="3" t="s">
        <v>57</v>
      </c>
      <c r="D7" s="3" t="s">
        <v>79</v>
      </c>
      <c r="E7" s="5" t="s">
        <v>49</v>
      </c>
      <c r="F7" s="5" t="s">
        <v>59</v>
      </c>
      <c r="G7" s="5" t="s">
        <v>4</v>
      </c>
      <c r="H7" s="3" t="s">
        <v>60</v>
      </c>
      <c r="I7" s="3" t="s">
        <v>67</v>
      </c>
      <c r="J7" s="3" t="s">
        <v>80</v>
      </c>
      <c r="K7" s="5" t="s">
        <v>54</v>
      </c>
      <c r="L7" s="3" t="s">
        <v>81</v>
      </c>
      <c r="M7" s="3"/>
      <c r="N7" s="5"/>
    </row>
    <row r="8" spans="1:14" ht="28.8" x14ac:dyDescent="0.3">
      <c r="A8" s="3" t="s">
        <v>82</v>
      </c>
      <c r="B8" s="3" t="s">
        <v>8</v>
      </c>
      <c r="C8" s="3" t="s">
        <v>57</v>
      </c>
      <c r="D8" s="3" t="s">
        <v>83</v>
      </c>
      <c r="E8" s="5" t="s">
        <v>66</v>
      </c>
      <c r="F8" s="5" t="s">
        <v>59</v>
      </c>
      <c r="G8" s="5" t="s">
        <v>5</v>
      </c>
      <c r="H8" s="3" t="s">
        <v>60</v>
      </c>
      <c r="I8" s="3" t="s">
        <v>67</v>
      </c>
      <c r="J8" s="3" t="s">
        <v>84</v>
      </c>
      <c r="K8" s="5" t="s">
        <v>54</v>
      </c>
      <c r="L8" s="3" t="s">
        <v>85</v>
      </c>
      <c r="M8" s="3"/>
      <c r="N8" s="5"/>
    </row>
    <row r="9" spans="1:14" ht="28.8" x14ac:dyDescent="0.3">
      <c r="A9" s="3" t="s">
        <v>86</v>
      </c>
      <c r="B9" s="3" t="s">
        <v>8</v>
      </c>
      <c r="C9" s="3" t="s">
        <v>87</v>
      </c>
      <c r="D9" s="3" t="s">
        <v>88</v>
      </c>
      <c r="E9" s="5" t="s">
        <v>49</v>
      </c>
      <c r="F9" s="5" t="s">
        <v>87</v>
      </c>
      <c r="G9" s="5" t="s">
        <v>4</v>
      </c>
      <c r="H9" s="3" t="s">
        <v>60</v>
      </c>
      <c r="I9" s="3" t="s">
        <v>89</v>
      </c>
      <c r="J9" s="3" t="s">
        <v>90</v>
      </c>
      <c r="K9" s="5" t="s">
        <v>54</v>
      </c>
      <c r="L9" s="3" t="s">
        <v>91</v>
      </c>
      <c r="M9" s="3"/>
      <c r="N9" s="5"/>
    </row>
    <row r="10" spans="1:14" ht="28.8" x14ac:dyDescent="0.3">
      <c r="A10" s="3" t="s">
        <v>92</v>
      </c>
      <c r="B10" s="3" t="s">
        <v>8</v>
      </c>
      <c r="C10" s="3" t="s">
        <v>87</v>
      </c>
      <c r="D10" s="3" t="s">
        <v>93</v>
      </c>
      <c r="E10" s="5" t="s">
        <v>49</v>
      </c>
      <c r="F10" s="5" t="s">
        <v>87</v>
      </c>
      <c r="G10" s="5" t="s">
        <v>4</v>
      </c>
      <c r="H10" s="3" t="s">
        <v>60</v>
      </c>
      <c r="I10" s="3" t="s">
        <v>94</v>
      </c>
      <c r="J10" s="3" t="s">
        <v>95</v>
      </c>
      <c r="K10" s="5" t="s">
        <v>54</v>
      </c>
      <c r="L10" s="3" t="s">
        <v>96</v>
      </c>
      <c r="M10" s="3"/>
      <c r="N10" s="5"/>
    </row>
    <row r="11" spans="1:14" ht="28.8" x14ac:dyDescent="0.3">
      <c r="A11" s="3" t="s">
        <v>97</v>
      </c>
      <c r="B11" s="3" t="s">
        <v>8</v>
      </c>
      <c r="C11" s="3" t="s">
        <v>87</v>
      </c>
      <c r="D11" s="3" t="s">
        <v>98</v>
      </c>
      <c r="E11" s="5" t="s">
        <v>49</v>
      </c>
      <c r="F11" s="5" t="s">
        <v>87</v>
      </c>
      <c r="G11" s="5" t="s">
        <v>4</v>
      </c>
      <c r="H11" s="3" t="s">
        <v>60</v>
      </c>
      <c r="I11" s="3" t="s">
        <v>99</v>
      </c>
      <c r="J11" s="3" t="s">
        <v>100</v>
      </c>
      <c r="K11" s="5" t="s">
        <v>54</v>
      </c>
      <c r="L11" s="3" t="s">
        <v>101</v>
      </c>
      <c r="M11" s="3"/>
      <c r="N11" s="5"/>
    </row>
    <row r="12" spans="1:14" ht="28.8" x14ac:dyDescent="0.3">
      <c r="A12" s="3" t="s">
        <v>102</v>
      </c>
      <c r="B12" s="3" t="s">
        <v>8</v>
      </c>
      <c r="C12" s="3" t="s">
        <v>87</v>
      </c>
      <c r="D12" s="3" t="s">
        <v>103</v>
      </c>
      <c r="E12" s="5" t="s">
        <v>66</v>
      </c>
      <c r="F12" s="5" t="s">
        <v>87</v>
      </c>
      <c r="G12" s="5" t="s">
        <v>5</v>
      </c>
      <c r="H12" s="3" t="s">
        <v>60</v>
      </c>
      <c r="I12" s="3" t="s">
        <v>104</v>
      </c>
      <c r="J12" s="3" t="s">
        <v>105</v>
      </c>
      <c r="K12" s="5" t="s">
        <v>54</v>
      </c>
      <c r="L12" s="3" t="s">
        <v>106</v>
      </c>
      <c r="M12" s="3"/>
      <c r="N12" s="5"/>
    </row>
    <row r="13" spans="1:14" ht="28.8" x14ac:dyDescent="0.3">
      <c r="A13" s="3" t="s">
        <v>107</v>
      </c>
      <c r="B13" s="3" t="s">
        <v>8</v>
      </c>
      <c r="C13" s="3" t="s">
        <v>47</v>
      </c>
      <c r="D13" s="3" t="s">
        <v>108</v>
      </c>
      <c r="E13" s="5" t="s">
        <v>109</v>
      </c>
      <c r="F13" s="5" t="s">
        <v>110</v>
      </c>
      <c r="G13" s="5" t="s">
        <v>5</v>
      </c>
      <c r="H13" s="3" t="s">
        <v>60</v>
      </c>
      <c r="I13" s="3" t="s">
        <v>111</v>
      </c>
      <c r="J13" s="3" t="s">
        <v>112</v>
      </c>
      <c r="K13" s="5" t="s">
        <v>54</v>
      </c>
      <c r="L13" s="3" t="s">
        <v>113</v>
      </c>
      <c r="M13" s="3"/>
      <c r="N13" s="5"/>
    </row>
    <row r="14" spans="1:14" ht="28.8" x14ac:dyDescent="0.3">
      <c r="A14" s="3" t="s">
        <v>114</v>
      </c>
      <c r="B14" s="3" t="s">
        <v>8</v>
      </c>
      <c r="C14" s="3" t="s">
        <v>115</v>
      </c>
      <c r="D14" s="3" t="s">
        <v>116</v>
      </c>
      <c r="E14" s="5" t="s">
        <v>109</v>
      </c>
      <c r="F14" s="5" t="s">
        <v>59</v>
      </c>
      <c r="G14" s="5" t="s">
        <v>5</v>
      </c>
      <c r="H14" s="3" t="s">
        <v>60</v>
      </c>
      <c r="I14" s="3" t="s">
        <v>117</v>
      </c>
      <c r="J14" s="3" t="s">
        <v>118</v>
      </c>
      <c r="K14" s="5" t="s">
        <v>54</v>
      </c>
      <c r="L14" s="3" t="s">
        <v>119</v>
      </c>
      <c r="M14" s="3"/>
      <c r="N14" s="5"/>
    </row>
    <row r="15" spans="1:14" ht="28.8" x14ac:dyDescent="0.3">
      <c r="A15" s="3" t="s">
        <v>120</v>
      </c>
      <c r="B15" s="3" t="s">
        <v>8</v>
      </c>
      <c r="C15" s="3" t="s">
        <v>121</v>
      </c>
      <c r="D15" s="3" t="s">
        <v>122</v>
      </c>
      <c r="E15" s="5" t="s">
        <v>109</v>
      </c>
      <c r="F15" s="5" t="s">
        <v>59</v>
      </c>
      <c r="G15" s="5" t="s">
        <v>5</v>
      </c>
      <c r="H15" s="3" t="s">
        <v>60</v>
      </c>
      <c r="I15" s="3" t="s">
        <v>123</v>
      </c>
      <c r="J15" s="3" t="s">
        <v>124</v>
      </c>
      <c r="K15" s="5" t="s">
        <v>54</v>
      </c>
      <c r="L15" s="3" t="s">
        <v>125</v>
      </c>
      <c r="M15" s="3"/>
      <c r="N15" s="5"/>
    </row>
    <row r="16" spans="1:14" ht="28.8" x14ac:dyDescent="0.3">
      <c r="A16" s="3" t="s">
        <v>126</v>
      </c>
      <c r="B16" s="3" t="s">
        <v>8</v>
      </c>
      <c r="C16" s="3" t="s">
        <v>127</v>
      </c>
      <c r="D16" s="3" t="s">
        <v>128</v>
      </c>
      <c r="E16" s="5" t="s">
        <v>66</v>
      </c>
      <c r="F16" s="5" t="s">
        <v>127</v>
      </c>
      <c r="G16" s="5" t="s">
        <v>5</v>
      </c>
      <c r="H16" s="3" t="s">
        <v>129</v>
      </c>
      <c r="I16" s="3" t="s">
        <v>130</v>
      </c>
      <c r="J16" s="3" t="s">
        <v>131</v>
      </c>
      <c r="K16" s="5" t="s">
        <v>54</v>
      </c>
      <c r="L16" s="3" t="s">
        <v>132</v>
      </c>
      <c r="M16" s="3"/>
      <c r="N16" s="5"/>
    </row>
    <row r="17" spans="1:14" ht="28.8" x14ac:dyDescent="0.3">
      <c r="A17" s="3" t="s">
        <v>133</v>
      </c>
      <c r="B17" s="3" t="s">
        <v>8</v>
      </c>
      <c r="C17" s="3" t="s">
        <v>134</v>
      </c>
      <c r="D17" s="3" t="s">
        <v>135</v>
      </c>
      <c r="E17" s="5" t="s">
        <v>109</v>
      </c>
      <c r="F17" s="5" t="s">
        <v>59</v>
      </c>
      <c r="G17" s="5" t="s">
        <v>5</v>
      </c>
      <c r="H17" s="3" t="s">
        <v>60</v>
      </c>
      <c r="I17" s="3" t="s">
        <v>136</v>
      </c>
      <c r="J17" s="3" t="s">
        <v>137</v>
      </c>
      <c r="K17" s="5" t="s">
        <v>54</v>
      </c>
      <c r="L17" s="3" t="s">
        <v>138</v>
      </c>
      <c r="M17" s="3"/>
      <c r="N17" s="5"/>
    </row>
    <row r="18" spans="1:14" ht="28.8" x14ac:dyDescent="0.3">
      <c r="A18" s="3" t="s">
        <v>139</v>
      </c>
      <c r="B18" s="3" t="s">
        <v>8</v>
      </c>
      <c r="C18" s="3" t="s">
        <v>140</v>
      </c>
      <c r="D18" s="3" t="s">
        <v>141</v>
      </c>
      <c r="E18" s="5" t="s">
        <v>66</v>
      </c>
      <c r="F18" s="5" t="s">
        <v>87</v>
      </c>
      <c r="G18" s="5" t="s">
        <v>5</v>
      </c>
      <c r="H18" s="3" t="s">
        <v>60</v>
      </c>
      <c r="I18" s="3" t="s">
        <v>142</v>
      </c>
      <c r="J18" s="3" t="s">
        <v>143</v>
      </c>
      <c r="K18" s="5" t="s">
        <v>54</v>
      </c>
      <c r="L18" s="3" t="s">
        <v>144</v>
      </c>
      <c r="M18" s="3"/>
      <c r="N18" s="5"/>
    </row>
    <row r="19" spans="1:14" ht="28.8" x14ac:dyDescent="0.3">
      <c r="A19" s="3" t="s">
        <v>145</v>
      </c>
      <c r="B19" s="3" t="s">
        <v>8</v>
      </c>
      <c r="C19" s="3" t="s">
        <v>146</v>
      </c>
      <c r="D19" s="3" t="s">
        <v>147</v>
      </c>
      <c r="E19" s="5" t="s">
        <v>66</v>
      </c>
      <c r="F19" s="5" t="s">
        <v>148</v>
      </c>
      <c r="G19" s="5" t="s">
        <v>5</v>
      </c>
      <c r="H19" s="3" t="s">
        <v>149</v>
      </c>
      <c r="I19" s="3" t="s">
        <v>150</v>
      </c>
      <c r="J19" s="3" t="s">
        <v>151</v>
      </c>
      <c r="K19" s="5" t="s">
        <v>54</v>
      </c>
      <c r="L19" s="3" t="s">
        <v>152</v>
      </c>
      <c r="M19" s="3"/>
      <c r="N19" s="5"/>
    </row>
  </sheetData>
  <conditionalFormatting sqref="E2:E19">
    <cfRule type="cellIs" dxfId="8" priority="1" operator="equal">
      <formula>"High"</formula>
    </cfRule>
    <cfRule type="cellIs" dxfId="7" priority="2" operator="equal">
      <formula>"Medium"</formula>
    </cfRule>
    <cfRule type="cellIs" dxfId="6" priority="3" operator="equal">
      <formula>"Low"</formula>
    </cfRule>
  </conditionalFormatting>
  <conditionalFormatting sqref="G2:G19">
    <cfRule type="cellIs" dxfId="5" priority="4" operator="equal">
      <formula>"Smoke"</formula>
    </cfRule>
    <cfRule type="cellIs" dxfId="4" priority="5" operator="equal">
      <formula>"Regression"</formula>
    </cfRule>
  </conditionalFormatting>
  <conditionalFormatting sqref="N2:N19">
    <cfRule type="cellIs" dxfId="3" priority="6" operator="equal">
      <formula>"Pass"</formula>
    </cfRule>
    <cfRule type="cellIs" dxfId="2" priority="7" operator="equal">
      <formula>"Fail"</formula>
    </cfRule>
    <cfRule type="cellIs" dxfId="1" priority="8" operator="equal">
      <formula>"Blocked"</formula>
    </cfRule>
    <cfRule type="cellIs" dxfId="0" priority="9" operator="equal">
      <formula>"Not Run"</formula>
    </cfRule>
  </conditionalFormatting>
  <dataValidations count="4">
    <dataValidation type="list" allowBlank="1" sqref="N2:N19" xr:uid="{00000000-0002-0000-0100-000000000000}">
      <formula1>"Pass,Fail,Blocked,Not Run"</formula1>
    </dataValidation>
    <dataValidation type="list" sqref="G2:G19" xr:uid="{00000000-0002-0000-0100-000001000000}">
      <formula1>"Smoke,Regression"</formula1>
    </dataValidation>
    <dataValidation type="list" sqref="E2:E19" xr:uid="{00000000-0002-0000-0100-000002000000}">
      <formula1>"High,Medium,Low"</formula1>
    </dataValidation>
    <dataValidation type="list" sqref="K2:K19" xr:uid="{00000000-0002-0000-0100-000003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Homepage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snk rian</cp:lastModifiedBy>
  <dcterms:created xsi:type="dcterms:W3CDTF">2026-04-23T08:40:28Z</dcterms:created>
  <dcterms:modified xsi:type="dcterms:W3CDTF">2026-04-23T08:54:21Z</dcterms:modified>
</cp:coreProperties>
</file>