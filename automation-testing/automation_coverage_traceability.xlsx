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SUS\Desktop\New folder (3)\"/>
    </mc:Choice>
  </mc:AlternateContent>
  <xr:revisionPtr revIDLastSave="0" documentId="13_ncr:1_{E6532D5D-CC5F-443E-8DC3-E6960487BBB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shboard" sheetId="1" r:id="rId1"/>
    <sheet name="Homepage" sheetId="2" r:id="rId2"/>
    <sheet name="Signup_Login" sheetId="3" r:id="rId3"/>
    <sheet name="Products" sheetId="4" r:id="rId4"/>
    <sheet name="Cart" sheetId="5" r:id="rId5"/>
    <sheet name="Checkout" sheetId="6" r:id="rId6"/>
    <sheet name="Contact_Us" sheetId="7" r:id="rId7"/>
    <sheet name="Combined_Flows" sheetId="8" r:id="rId8"/>
    <sheet name="Bug_Report" sheetId="9" r:id="rId9"/>
    <sheet name="Traceability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2" i="1" l="1"/>
  <c r="B21" i="1"/>
  <c r="B20" i="1"/>
  <c r="B19" i="1"/>
  <c r="B18" i="1"/>
  <c r="B15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B17" i="1" s="1"/>
  <c r="C5" i="1"/>
  <c r="B16" i="1" s="1"/>
  <c r="B5" i="1"/>
</calcChain>
</file>

<file path=xl/sharedStrings.xml><?xml version="1.0" encoding="utf-8"?>
<sst xmlns="http://schemas.openxmlformats.org/spreadsheetml/2006/main" count="3472" uniqueCount="986">
  <si>
    <t>Feature Summary</t>
  </si>
  <si>
    <t>Sheet</t>
  </si>
  <si>
    <t>Test Cases</t>
  </si>
  <si>
    <t>Smoke</t>
  </si>
  <si>
    <t>Regression</t>
  </si>
  <si>
    <t>Playwright Ready</t>
  </si>
  <si>
    <t>Execution Status</t>
  </si>
  <si>
    <t>Homepage</t>
  </si>
  <si>
    <t>Ready</t>
  </si>
  <si>
    <t>Signup_Login</t>
  </si>
  <si>
    <t>Products</t>
  </si>
  <si>
    <t>Cart</t>
  </si>
  <si>
    <t>Checkout</t>
  </si>
  <si>
    <t>Contact_Us</t>
  </si>
  <si>
    <t>Combined_Flows</t>
  </si>
  <si>
    <t>KPI Summary</t>
  </si>
  <si>
    <t>Total Test Cases</t>
  </si>
  <si>
    <t>Total Smoke Cases</t>
  </si>
  <si>
    <t>Total Regression Cases</t>
  </si>
  <si>
    <t>Automation Candidates</t>
  </si>
  <si>
    <t>Open Bugs</t>
  </si>
  <si>
    <t>Closed Bugs</t>
  </si>
  <si>
    <t>Traceability Planned</t>
  </si>
  <si>
    <t>Traceability Automated</t>
  </si>
  <si>
    <t>How to Use</t>
  </si>
  <si>
    <t>1. Use feature sheets to record Actual Result and Status during manual execution.</t>
  </si>
  <si>
    <t>2. Status cells have dropdowns: Pass, Fail, Blocked, Not Run.</t>
  </si>
  <si>
    <t>3. Priority is color coded: High=red, Medium=yellow, Low=green.</t>
  </si>
  <si>
    <t>4. Suite Tag marks each case as Smoke or Regression.</t>
  </si>
  <si>
    <t>5. Bug_Report sheet stores defects found during testing.</t>
  </si>
  <si>
    <t>6. Traceability sheet links test cases to future Playwright specs.</t>
  </si>
  <si>
    <t>Test Case ID</t>
  </si>
  <si>
    <t>Module</t>
  </si>
  <si>
    <t>Submodule</t>
  </si>
  <si>
    <t>Test Title</t>
  </si>
  <si>
    <t>Priority</t>
  </si>
  <si>
    <t>Type</t>
  </si>
  <si>
    <t>Suite Tag</t>
  </si>
  <si>
    <t>Preconditions</t>
  </si>
  <si>
    <t>Steps</t>
  </si>
  <si>
    <t>Expected Result</t>
  </si>
  <si>
    <t>Playwright Candidate</t>
  </si>
  <si>
    <t>Automation ID</t>
  </si>
  <si>
    <t>Actual Result</t>
  </si>
  <si>
    <t>Status</t>
  </si>
  <si>
    <t>HOME_001</t>
  </si>
  <si>
    <t>Load</t>
  </si>
  <si>
    <t>Homepage loads successfully</t>
  </si>
  <si>
    <t>High</t>
  </si>
  <si>
    <t>Positive</t>
  </si>
  <si>
    <t>Browser open</t>
  </si>
  <si>
    <t>Navigate to https://automationexercise.com</t>
  </si>
  <si>
    <t>Homepage loads without error and main header is visible</t>
  </si>
  <si>
    <t>Yes</t>
  </si>
  <si>
    <t>AUTO_HOMEPAGE_001</t>
  </si>
  <si>
    <t>Matches expected result</t>
  </si>
  <si>
    <t>Pass</t>
  </si>
  <si>
    <t>HOME_002</t>
  </si>
  <si>
    <t>Header</t>
  </si>
  <si>
    <t>Site logo is visible</t>
  </si>
  <si>
    <t>UI</t>
  </si>
  <si>
    <t>Homepage open</t>
  </si>
  <si>
    <t>Observe header area</t>
  </si>
  <si>
    <t>Logo/brand image is visible</t>
  </si>
  <si>
    <t>AUTO_HOMEPAGE_002</t>
  </si>
  <si>
    <t>HOME_003</t>
  </si>
  <si>
    <t>Home menu item is visible</t>
  </si>
  <si>
    <t>Medium</t>
  </si>
  <si>
    <t>Check top navigation</t>
  </si>
  <si>
    <t>Home link is visible</t>
  </si>
  <si>
    <t>AUTO_HOMEPAGE_003</t>
  </si>
  <si>
    <t>HOME_004</t>
  </si>
  <si>
    <t>Products menu item is visible</t>
  </si>
  <si>
    <t>Products link is visible</t>
  </si>
  <si>
    <t>AUTO_HOMEPAGE_004</t>
  </si>
  <si>
    <t>HOME_005</t>
  </si>
  <si>
    <t>Cart menu item is visible</t>
  </si>
  <si>
    <t>Cart link is visible</t>
  </si>
  <si>
    <t>AUTO_HOMEPAGE_005</t>
  </si>
  <si>
    <t>HOME_006</t>
  </si>
  <si>
    <t>Signup/Login menu item is visible</t>
  </si>
  <si>
    <t>Signup / Login link is visible</t>
  </si>
  <si>
    <t>AUTO_HOMEPAGE_006</t>
  </si>
  <si>
    <t>HOME_007</t>
  </si>
  <si>
    <t>Contact us menu item is visible</t>
  </si>
  <si>
    <t>Contact us link is visible</t>
  </si>
  <si>
    <t>AUTO_HOMEPAGE_007</t>
  </si>
  <si>
    <t>HOME_008</t>
  </si>
  <si>
    <t>Navigation</t>
  </si>
  <si>
    <t>Products link opens products page</t>
  </si>
  <si>
    <t>Click Products</t>
  </si>
  <si>
    <t>Products page opens successfully</t>
  </si>
  <si>
    <t>AUTO_HOMEPAGE_008</t>
  </si>
  <si>
    <t>HOME_009</t>
  </si>
  <si>
    <t>Cart link opens cart page</t>
  </si>
  <si>
    <t>Click Cart</t>
  </si>
  <si>
    <t>Cart page opens successfully</t>
  </si>
  <si>
    <t>AUTO_HOMEPAGE_009</t>
  </si>
  <si>
    <t>HOME_010</t>
  </si>
  <si>
    <t>Signup/Login link opens auth page</t>
  </si>
  <si>
    <t>Click Signup / Login</t>
  </si>
  <si>
    <t>Signup/Login page opens successfully</t>
  </si>
  <si>
    <t>AUTO_HOMEPAGE_010</t>
  </si>
  <si>
    <t>HOME_011</t>
  </si>
  <si>
    <t>Contact us link opens contact page</t>
  </si>
  <si>
    <t>Click Contact us</t>
  </si>
  <si>
    <t>Contact us page opens successfully</t>
  </si>
  <si>
    <t>AUTO_HOMEPAGE_011</t>
  </si>
  <si>
    <t>HOME_012</t>
  </si>
  <si>
    <t>Homepage refresh keeps page stable</t>
  </si>
  <si>
    <t>Low</t>
  </si>
  <si>
    <t>Reliability</t>
  </si>
  <si>
    <t>Refresh browser page</t>
  </si>
  <si>
    <t>Homepage reloads correctly with no visual break</t>
  </si>
  <si>
    <t>AUTO_HOMEPAGE_012</t>
  </si>
  <si>
    <t>HOME_013</t>
  </si>
  <si>
    <t>Footer</t>
  </si>
  <si>
    <t>Footer section is visible</t>
  </si>
  <si>
    <t>Scroll to footer</t>
  </si>
  <si>
    <t>Footer is visible</t>
  </si>
  <si>
    <t>AUTO_HOMEPAGE_013</t>
  </si>
  <si>
    <t>HOME_014</t>
  </si>
  <si>
    <t>Scroll</t>
  </si>
  <si>
    <t>Scroll to footer and back to top manually</t>
  </si>
  <si>
    <t>Scroll down and back up</t>
  </si>
  <si>
    <t>Page remains stable while scrolling</t>
  </si>
  <si>
    <t>AUTO_HOMEPAGE_014</t>
  </si>
  <si>
    <t>HOME_015</t>
  </si>
  <si>
    <t>Responsive</t>
  </si>
  <si>
    <t>Desktop layout remains aligned</t>
  </si>
  <si>
    <t>Homepage open in desktop viewport</t>
  </si>
  <si>
    <t>Inspect hero, menu and cards</t>
  </si>
  <si>
    <t>Layout remains aligned without overlapping elements</t>
  </si>
  <si>
    <t>AUTO_HOMEPAGE_015</t>
  </si>
  <si>
    <t>HOME_016</t>
  </si>
  <si>
    <t>SEO/UI</t>
  </si>
  <si>
    <t>Page title is not empty</t>
  </si>
  <si>
    <t>Inspect browser tab title</t>
  </si>
  <si>
    <t>Page title is populated</t>
  </si>
  <si>
    <t>AUTO_HOMEPAGE_016</t>
  </si>
  <si>
    <t>HOME_017</t>
  </si>
  <si>
    <t>Broken Links</t>
  </si>
  <si>
    <t>Top navigation links do not open error page</t>
  </si>
  <si>
    <t>Open each top nav item one by one</t>
  </si>
  <si>
    <t>No 404/500 page is shown</t>
  </si>
  <si>
    <t>AUTO_HOMEPAGE_017</t>
  </si>
  <si>
    <t>HOME_018</t>
  </si>
  <si>
    <t>Authentication State</t>
  </si>
  <si>
    <t>Logged-in username appears after login</t>
  </si>
  <si>
    <t>State</t>
  </si>
  <si>
    <t>User has logged in</t>
  </si>
  <si>
    <t>Return to homepage</t>
  </si>
  <si>
    <t>Logged in as &lt;username&gt; text is shown</t>
  </si>
  <si>
    <t>AUTO_HOMEPAGE_018</t>
  </si>
  <si>
    <t>AUTH_001</t>
  </si>
  <si>
    <t>Signup/Login</t>
  </si>
  <si>
    <t>Signup/Login page opens</t>
  </si>
  <si>
    <t>Login and signup sections are visible</t>
  </si>
  <si>
    <t>AUTO_SIGNUP_LOGIN_001</t>
  </si>
  <si>
    <t>AUTH_002</t>
  </si>
  <si>
    <t>Login UI</t>
  </si>
  <si>
    <t>Login email field is visible</t>
  </si>
  <si>
    <t>Auth page open</t>
  </si>
  <si>
    <t>Observe login form</t>
  </si>
  <si>
    <t>Email field is displayed</t>
  </si>
  <si>
    <t>AUTO_SIGNUP_LOGIN_002</t>
  </si>
  <si>
    <t>AUTH_003</t>
  </si>
  <si>
    <t>Login password field is visible</t>
  </si>
  <si>
    <t>Password field is displayed</t>
  </si>
  <si>
    <t>AUTO_SIGNUP_LOGIN_003</t>
  </si>
  <si>
    <t>AUTH_004</t>
  </si>
  <si>
    <t>Login button is visible</t>
  </si>
  <si>
    <t>Login button is displayed</t>
  </si>
  <si>
    <t>AUTO_SIGNUP_LOGIN_004</t>
  </si>
  <si>
    <t>AUTH_005</t>
  </si>
  <si>
    <t>Signup UI</t>
  </si>
  <si>
    <t>Signup name field is visible</t>
  </si>
  <si>
    <t>Observe signup form</t>
  </si>
  <si>
    <t>Name field is displayed</t>
  </si>
  <si>
    <t>AUTO_SIGNUP_LOGIN_005</t>
  </si>
  <si>
    <t>AUTH_006</t>
  </si>
  <si>
    <t>Signup email field is visible</t>
  </si>
  <si>
    <t>AUTO_SIGNUP_LOGIN_006</t>
  </si>
  <si>
    <t>AUTH_007</t>
  </si>
  <si>
    <t>Signup button is visible</t>
  </si>
  <si>
    <t>Signup button is displayed</t>
  </si>
  <si>
    <t>AUTO_SIGNUP_LOGIN_007</t>
  </si>
  <si>
    <t>AUTH_008</t>
  </si>
  <si>
    <t>Login Validation</t>
  </si>
  <si>
    <t>Empty login submission</t>
  </si>
  <si>
    <t>Negative</t>
  </si>
  <si>
    <t>Leave login email and password blank and click Login</t>
  </si>
  <si>
    <t>User is not logged in and browser/native validation or error message appears</t>
  </si>
  <si>
    <t>AUTO_SIGNUP_LOGIN_008</t>
  </si>
  <si>
    <t>AUTH_009</t>
  </si>
  <si>
    <t>Login with empty email only</t>
  </si>
  <si>
    <t>Leave email blank, enter password, click Login</t>
  </si>
  <si>
    <t>Login is blocked</t>
  </si>
  <si>
    <t>AUTO_SIGNUP_LOGIN_009</t>
  </si>
  <si>
    <t>AUTH_010</t>
  </si>
  <si>
    <t>Login with empty password only</t>
  </si>
  <si>
    <t>Enter email, leave password blank, click Login</t>
  </si>
  <si>
    <t>AUTO_SIGNUP_LOGIN_010</t>
  </si>
  <si>
    <t>AUTH_011</t>
  </si>
  <si>
    <t>Login with invalid email format</t>
  </si>
  <si>
    <t>Enter invalid email format like abc and any password, click Login</t>
  </si>
  <si>
    <t>Form rejects invalid email or login fails</t>
  </si>
  <si>
    <t>AUTO_SIGNUP_LOGIN_011</t>
  </si>
  <si>
    <t>AUTH_012</t>
  </si>
  <si>
    <t>Login Negative</t>
  </si>
  <si>
    <t>Login with unregistered account</t>
  </si>
  <si>
    <t>Enter unregistered email and random password, click Login</t>
  </si>
  <si>
    <t>Error message about incorrect email or password appears</t>
  </si>
  <si>
    <t>AUTO_SIGNUP_LOGIN_012</t>
  </si>
  <si>
    <t>AUTH_013</t>
  </si>
  <si>
    <t>Login with wrong password for existing user</t>
  </si>
  <si>
    <t>Registered user available</t>
  </si>
  <si>
    <t>Enter valid registered email and wrong password</t>
  </si>
  <si>
    <t>Login fails with error message</t>
  </si>
  <si>
    <t>AUTO_SIGNUP_LOGIN_013</t>
  </si>
  <si>
    <t>AUTH_014</t>
  </si>
  <si>
    <t>Login Positive</t>
  </si>
  <si>
    <t>Login with valid credentials</t>
  </si>
  <si>
    <t>Enter valid email and password, click Login</t>
  </si>
  <si>
    <t>User is logged in successfully</t>
  </si>
  <si>
    <t>AUTO_SIGNUP_LOGIN_014</t>
  </si>
  <si>
    <t>AUTH_015</t>
  </si>
  <si>
    <t>User sees logged-in indicator after successful login</t>
  </si>
  <si>
    <t>User logged in</t>
  </si>
  <si>
    <t>Observe header</t>
  </si>
  <si>
    <t>Logged in as username is shown</t>
  </si>
  <si>
    <t>AUTO_SIGNUP_LOGIN_015</t>
  </si>
  <si>
    <t>AUTH_016</t>
  </si>
  <si>
    <t>Logout</t>
  </si>
  <si>
    <t>Logout redirects to login page</t>
  </si>
  <si>
    <t>Click Logout</t>
  </si>
  <si>
    <t>User is redirected to Signup/Login page</t>
  </si>
  <si>
    <t>AUTO_SIGNUP_LOGIN_016</t>
  </si>
  <si>
    <t>AUTH_017</t>
  </si>
  <si>
    <t>Session</t>
  </si>
  <si>
    <t>Restricted state removed after logout</t>
  </si>
  <si>
    <t>User logged out</t>
  </si>
  <si>
    <t>Open cart/other page and inspect header</t>
  </si>
  <si>
    <t>Logged-in username is no longer shown</t>
  </si>
  <si>
    <t>AUTO_SIGNUP_LOGIN_017</t>
  </si>
  <si>
    <t>AUTH_018</t>
  </si>
  <si>
    <t>Signup Validation</t>
  </si>
  <si>
    <t>Signup with empty name and email</t>
  </si>
  <si>
    <t>Leave name and email empty and click Signup</t>
  </si>
  <si>
    <t>Signup is blocked</t>
  </si>
  <si>
    <t>AUTO_SIGNUP_LOGIN_018</t>
  </si>
  <si>
    <t>AUTH_019</t>
  </si>
  <si>
    <t>Signup with empty name</t>
  </si>
  <si>
    <t>Leave name empty, enter email, click Signup</t>
  </si>
  <si>
    <t>AUTO_SIGNUP_LOGIN_019</t>
  </si>
  <si>
    <t>AUTH_020</t>
  </si>
  <si>
    <t>Signup with empty email</t>
  </si>
  <si>
    <t>Enter name, leave email empty, click Signup</t>
  </si>
  <si>
    <t>AUTO_SIGNUP_LOGIN_020</t>
  </si>
  <si>
    <t>AUTH_021</t>
  </si>
  <si>
    <t>Signup with invalid email format</t>
  </si>
  <si>
    <t>Enter name and invalid email format, click Signup</t>
  </si>
  <si>
    <t>Form rejects invalid email or signup fails</t>
  </si>
  <si>
    <t>AUTO_SIGNUP_LOGIN_021</t>
  </si>
  <si>
    <t>AUTH_022</t>
  </si>
  <si>
    <t>Signup Positive</t>
  </si>
  <si>
    <t>Signup with new unique email opens account info page</t>
  </si>
  <si>
    <t>Enter name and unique email, click Signup</t>
  </si>
  <si>
    <t>ENTER ACCOUNT INFORMATION page opens</t>
  </si>
  <si>
    <t>AUTO_SIGNUP_LOGIN_022</t>
  </si>
  <si>
    <t>AUTH_023</t>
  </si>
  <si>
    <t>Duplicate email signup shows error</t>
  </si>
  <si>
    <t>Existing account email available</t>
  </si>
  <si>
    <t>Use already registered email in signup form</t>
  </si>
  <si>
    <t>Error about email address already existing appears</t>
  </si>
  <si>
    <t>AUTO_SIGNUP_LOGIN_023</t>
  </si>
  <si>
    <t>AUTH_024</t>
  </si>
  <si>
    <t>Account Info</t>
  </si>
  <si>
    <t>Title radio button can be selected</t>
  </si>
  <si>
    <t>On account info page</t>
  </si>
  <si>
    <t>Select Mr or Mrs title</t>
  </si>
  <si>
    <t>Selected title remains checked</t>
  </si>
  <si>
    <t>AUTO_SIGNUP_LOGIN_024</t>
  </si>
  <si>
    <t>AUTH_025</t>
  </si>
  <si>
    <t>Password field accepts input</t>
  </si>
  <si>
    <t>Type password</t>
  </si>
  <si>
    <t>Password value is accepted</t>
  </si>
  <si>
    <t>AUTO_SIGNUP_LOGIN_025</t>
  </si>
  <si>
    <t>AUTH_026</t>
  </si>
  <si>
    <t>Date of birth fields can be selected</t>
  </si>
  <si>
    <t>Select day, month, year</t>
  </si>
  <si>
    <t>Selected DOB values remain selected</t>
  </si>
  <si>
    <t>AUTO_SIGNUP_LOGIN_026</t>
  </si>
  <si>
    <t>AUTH_027</t>
  </si>
  <si>
    <t>Newsletter checkbox can be toggled</t>
  </si>
  <si>
    <t>Check and uncheck newsletter option</t>
  </si>
  <si>
    <t>Checkbox state changes correctly</t>
  </si>
  <si>
    <t>AUTO_SIGNUP_LOGIN_027</t>
  </si>
  <si>
    <t>AUTH_028</t>
  </si>
  <si>
    <t>Special offers checkbox can be toggled</t>
  </si>
  <si>
    <t>Check and uncheck offers option</t>
  </si>
  <si>
    <t>AUTO_SIGNUP_LOGIN_028</t>
  </si>
  <si>
    <t>AUTH_029</t>
  </si>
  <si>
    <t>Registration Validation</t>
  </si>
  <si>
    <t>Mandatory personal fields must be fillable</t>
  </si>
  <si>
    <t>Fill first name, last name, address, country, state, city, zipcode, mobile</t>
  </si>
  <si>
    <t>All fields accept input</t>
  </si>
  <si>
    <t>AUTO_SIGNUP_LOGIN_029</t>
  </si>
  <si>
    <t>AUTH_030</t>
  </si>
  <si>
    <t>Registration Positive</t>
  </si>
  <si>
    <t>Account creation succeeds with valid mandatory data</t>
  </si>
  <si>
    <t>On account info page with unique email</t>
  </si>
  <si>
    <t>Fill mandatory fields and click Create Account</t>
  </si>
  <si>
    <t>Account Created page is displayed</t>
  </si>
  <si>
    <t>AUTO_SIGNUP_LOGIN_030</t>
  </si>
  <si>
    <t>AUTH_031</t>
  </si>
  <si>
    <t>Registration Flow</t>
  </si>
  <si>
    <t>Continue button works after account creation</t>
  </si>
  <si>
    <t>Account created page open</t>
  </si>
  <si>
    <t>Click Continue</t>
  </si>
  <si>
    <t>User lands in logged-in state</t>
  </si>
  <si>
    <t>AUTO_SIGNUP_LOGIN_031</t>
  </si>
  <si>
    <t>AUTH_032</t>
  </si>
  <si>
    <t>Delete Account</t>
  </si>
  <si>
    <t>Delete Account option is visible after login</t>
  </si>
  <si>
    <t>Observe header/menu</t>
  </si>
  <si>
    <t>Delete Account link is visible</t>
  </si>
  <si>
    <t>AUTO_SIGNUP_LOGIN_032</t>
  </si>
  <si>
    <t>AUTH_033</t>
  </si>
  <si>
    <t>Delete account flow succeeds</t>
  </si>
  <si>
    <t>Disposable test user logged in</t>
  </si>
  <si>
    <t>Click Delete Account and confirm if needed</t>
  </si>
  <si>
    <t>Account deleted confirmation appears</t>
  </si>
  <si>
    <t>AUTO_SIGNUP_LOGIN_033</t>
  </si>
  <si>
    <t>AUTH_034</t>
  </si>
  <si>
    <t>Field Limits</t>
  </si>
  <si>
    <t>Very long name is handled in signup form</t>
  </si>
  <si>
    <t>Boundary</t>
  </si>
  <si>
    <t>Paste a very long name string and valid email</t>
  </si>
  <si>
    <t>Form handles input without UI break</t>
  </si>
  <si>
    <t>AUTO_SIGNUP_LOGIN_034</t>
  </si>
  <si>
    <t>AUTH_035</t>
  </si>
  <si>
    <t>Very long password is handled in registration</t>
  </si>
  <si>
    <t>Enter long password</t>
  </si>
  <si>
    <t>Form handles input without crash</t>
  </si>
  <si>
    <t>AUTO_SIGNUP_LOGIN_035</t>
  </si>
  <si>
    <t>AUTH_036</t>
  </si>
  <si>
    <t>Whitespace</t>
  </si>
  <si>
    <t>Leading/trailing spaces in login email are handled</t>
  </si>
  <si>
    <t>Enter valid email with leading/trailing spaces and correct password</t>
  </si>
  <si>
    <t>System trims input or login fails predictably without crash</t>
  </si>
  <si>
    <t>AUTO_SIGNUP_LOGIN_036</t>
  </si>
  <si>
    <t>AUTH_037</t>
  </si>
  <si>
    <t>Leading/trailing spaces in signup name are handled</t>
  </si>
  <si>
    <t>Enter name with extra spaces and unique email</t>
  </si>
  <si>
    <t>Signup flow proceeds or validation behaves consistently</t>
  </si>
  <si>
    <t>AUTO_SIGNUP_LOGIN_037</t>
  </si>
  <si>
    <t>AUTH_038</t>
  </si>
  <si>
    <t>Browser back after logout does not restore logged-in state</t>
  </si>
  <si>
    <t>Security</t>
  </si>
  <si>
    <t>User logged in then logged out</t>
  </si>
  <si>
    <t>Click Logout then browser Back</t>
  </si>
  <si>
    <t>User should not regain authenticated state</t>
  </si>
  <si>
    <t>AUTO_SIGNUP_LOGIN_038</t>
  </si>
  <si>
    <t>AUTH_039</t>
  </si>
  <si>
    <t>Usability</t>
  </si>
  <si>
    <t>Password field masks characters</t>
  </si>
  <si>
    <t>Type in password field</t>
  </si>
  <si>
    <t>Typed characters are masked</t>
  </si>
  <si>
    <t>AUTO_SIGNUP_LOGIN_039</t>
  </si>
  <si>
    <t>AUTH_040</t>
  </si>
  <si>
    <t>Error Message</t>
  </si>
  <si>
    <t>Incorrect login error disappears after successful login</t>
  </si>
  <si>
    <t>User first gets invalid login then retries valid login</t>
  </si>
  <si>
    <t>Perform invalid then valid login</t>
  </si>
  <si>
    <t>User logs in and stale error message is not shown</t>
  </si>
  <si>
    <t>AUTO_SIGNUP_LOGIN_040</t>
  </si>
  <si>
    <t>PROD_001</t>
  </si>
  <si>
    <t>Products page opens from header</t>
  </si>
  <si>
    <t>Products page opens</t>
  </si>
  <si>
    <t>AUTO_PRODUCTS_001</t>
  </si>
  <si>
    <t>PROD_002</t>
  </si>
  <si>
    <t>Listing</t>
  </si>
  <si>
    <t>Product cards are visible</t>
  </si>
  <si>
    <t>Products page open</t>
  </si>
  <si>
    <t>Observe product list</t>
  </si>
  <si>
    <t>At least one product card is visible</t>
  </si>
  <si>
    <t>AUTO_PRODUCTS_002</t>
  </si>
  <si>
    <t>PROD_003</t>
  </si>
  <si>
    <t>Each product card shows name and price</t>
  </si>
  <si>
    <t>Inspect product card</t>
  </si>
  <si>
    <t>Name and price are visible</t>
  </si>
  <si>
    <t>AUTO_PRODUCTS_003</t>
  </si>
  <si>
    <t>PROD_004</t>
  </si>
  <si>
    <t>View Product button/link is present</t>
  </si>
  <si>
    <t>View Product link is visible</t>
  </si>
  <si>
    <t>AUTO_PRODUCTS_004</t>
  </si>
  <si>
    <t>PROD_005</t>
  </si>
  <si>
    <t>Details</t>
  </si>
  <si>
    <t>Product detail page opens</t>
  </si>
  <si>
    <t>Click View Product on a product</t>
  </si>
  <si>
    <t>AUTO_PRODUCTS_005</t>
  </si>
  <si>
    <t>PROD_006</t>
  </si>
  <si>
    <t>Product detail page shows product name</t>
  </si>
  <si>
    <t>Product detail page open</t>
  </si>
  <si>
    <t>Inspect product info</t>
  </si>
  <si>
    <t>Product name is visible</t>
  </si>
  <si>
    <t>AUTO_PRODUCTS_006</t>
  </si>
  <si>
    <t>PROD_007</t>
  </si>
  <si>
    <t>Product detail page shows category</t>
  </si>
  <si>
    <t>Category is visible</t>
  </si>
  <si>
    <t>AUTO_PRODUCTS_007</t>
  </si>
  <si>
    <t>PROD_008</t>
  </si>
  <si>
    <t>Product detail page shows price</t>
  </si>
  <si>
    <t>Price is visible</t>
  </si>
  <si>
    <t>AUTO_PRODUCTS_008</t>
  </si>
  <si>
    <t>PROD_009</t>
  </si>
  <si>
    <t>Product detail page shows availability condition and brand</t>
  </si>
  <si>
    <t>Inspect metadata area</t>
  </si>
  <si>
    <t>Availability, condition and brand are visible</t>
  </si>
  <si>
    <t>AUTO_PRODUCTS_009</t>
  </si>
  <si>
    <t>PROD_010</t>
  </si>
  <si>
    <t>Search</t>
  </si>
  <si>
    <t>Search box is visible</t>
  </si>
  <si>
    <t>Observe search area</t>
  </si>
  <si>
    <t>Search input is visible</t>
  </si>
  <si>
    <t>AUTO_PRODUCTS_010</t>
  </si>
  <si>
    <t>PROD_011</t>
  </si>
  <si>
    <t>Search button is visible</t>
  </si>
  <si>
    <t>Search trigger is visible</t>
  </si>
  <si>
    <t>AUTO_PRODUCTS_011</t>
  </si>
  <si>
    <t>PROD_012</t>
  </si>
  <si>
    <t>Search with valid keyword returns results</t>
  </si>
  <si>
    <t>Search for Dress</t>
  </si>
  <si>
    <t>Searched Products results are shown</t>
  </si>
  <si>
    <t>AUTO_PRODUCTS_012</t>
  </si>
  <si>
    <t>PROD_013</t>
  </si>
  <si>
    <t>Search with partial keyword returns matching results</t>
  </si>
  <si>
    <t>Search with partial text like Top</t>
  </si>
  <si>
    <t>Relevant results are shown</t>
  </si>
  <si>
    <t>AUTO_PRODUCTS_013</t>
  </si>
  <si>
    <t>PROD_014</t>
  </si>
  <si>
    <t>Search is case-insensitive</t>
  </si>
  <si>
    <t>Search keyword once in lowercase and once in uppercase</t>
  </si>
  <si>
    <t>Behavior is consistent</t>
  </si>
  <si>
    <t>AUTO_PRODUCTS_014</t>
  </si>
  <si>
    <t>PROD_015</t>
  </si>
  <si>
    <t>Search with invalid keyword returns no matching products</t>
  </si>
  <si>
    <t>Search for @@@@</t>
  </si>
  <si>
    <t>No matching products are shown or empty state appears</t>
  </si>
  <si>
    <t>AUTO_PRODUCTS_015</t>
  </si>
  <si>
    <t>PROD_016</t>
  </si>
  <si>
    <t>Empty search submission behaves predictably</t>
  </si>
  <si>
    <t>Leave search field empty and click search</t>
  </si>
  <si>
    <t>Results remain unchanged or validation occurs without crash</t>
  </si>
  <si>
    <t>AUTO_PRODUCTS_016</t>
  </si>
  <si>
    <t>PROD_017</t>
  </si>
  <si>
    <t>Add product to cart from listing</t>
  </si>
  <si>
    <t>Click Add to cart on a product</t>
  </si>
  <si>
    <t>Added-to-cart confirmation appears</t>
  </si>
  <si>
    <t>AUTO_PRODUCTS_017</t>
  </si>
  <si>
    <t>PROD_018</t>
  </si>
  <si>
    <t>View Cart link from add-to-cart modal opens cart</t>
  </si>
  <si>
    <t>Add-to-cart confirmation open</t>
  </si>
  <si>
    <t>Click View Cart</t>
  </si>
  <si>
    <t>Cart page opens with added item</t>
  </si>
  <si>
    <t>AUTO_PRODUCTS_018</t>
  </si>
  <si>
    <t>PROD_019</t>
  </si>
  <si>
    <t>Continue Shopping closes confirmation and stays on products page</t>
  </si>
  <si>
    <t>Click Continue Shopping</t>
  </si>
  <si>
    <t>Products page remains visible</t>
  </si>
  <si>
    <t>AUTO_PRODUCTS_019</t>
  </si>
  <si>
    <t>PROD_020</t>
  </si>
  <si>
    <t>Quantity</t>
  </si>
  <si>
    <t>Quantity field on detail page accepts numeric input</t>
  </si>
  <si>
    <t>Change quantity value</t>
  </si>
  <si>
    <t>Quantity field updates</t>
  </si>
  <si>
    <t>AUTO_PRODUCTS_020</t>
  </si>
  <si>
    <t>PROD_021</t>
  </si>
  <si>
    <t>Add selected quantity from detail page to cart</t>
  </si>
  <si>
    <t>Set quantity and click Add to cart</t>
  </si>
  <si>
    <t>Cart reflects selected quantity</t>
  </si>
  <si>
    <t>AUTO_PRODUCTS_021</t>
  </si>
  <si>
    <t>PROD_022</t>
  </si>
  <si>
    <t>Brands</t>
  </si>
  <si>
    <t>Brand section is visible on products page</t>
  </si>
  <si>
    <t>Inspect left sidebar/brand section</t>
  </si>
  <si>
    <t>Brands list is visible if available</t>
  </si>
  <si>
    <t>AUTO_PRODUCTS_022</t>
  </si>
  <si>
    <t>PROD_023</t>
  </si>
  <si>
    <t>Categories</t>
  </si>
  <si>
    <t>Category section is visible on homepage/products</t>
  </si>
  <si>
    <t>Homepage or products page open</t>
  </si>
  <si>
    <t>Inspect categories area</t>
  </si>
  <si>
    <t>Category section is visible if available</t>
  </si>
  <si>
    <t>AUTO_PRODUCTS_023</t>
  </si>
  <si>
    <t>PROD_024</t>
  </si>
  <si>
    <t>Resilience</t>
  </si>
  <si>
    <t>Repeated search actions do not break page</t>
  </si>
  <si>
    <t>Run several different searches one after another</t>
  </si>
  <si>
    <t>Page stays responsive and accurate</t>
  </si>
  <si>
    <t>AUTO_PRODUCTS_024</t>
  </si>
  <si>
    <t>CART_001</t>
  </si>
  <si>
    <t>Cart page opens from header</t>
  </si>
  <si>
    <t>Cart page opens</t>
  </si>
  <si>
    <t>AUTO_CART_001</t>
  </si>
  <si>
    <t>CART_002</t>
  </si>
  <si>
    <t>Empty State</t>
  </si>
  <si>
    <t>Empty cart message is shown when no items exist</t>
  </si>
  <si>
    <t>No item has been added</t>
  </si>
  <si>
    <t>Open cart page</t>
  </si>
  <si>
    <t>Empty cart message is shown</t>
  </si>
  <si>
    <t>AUTO_CART_002</t>
  </si>
  <si>
    <t>CART_003</t>
  </si>
  <si>
    <t>Add Item</t>
  </si>
  <si>
    <t>Single item appears in cart after add</t>
  </si>
  <si>
    <t>Item added to cart</t>
  </si>
  <si>
    <t>Open cart</t>
  </si>
  <si>
    <t>Added item is listed</t>
  </si>
  <si>
    <t>AUTO_CART_003</t>
  </si>
  <si>
    <t>CART_004</t>
  </si>
  <si>
    <t>Cart shows correct product name</t>
  </si>
  <si>
    <t>Open cart and inspect row</t>
  </si>
  <si>
    <t>Product name matches selected product</t>
  </si>
  <si>
    <t>AUTO_CART_004</t>
  </si>
  <si>
    <t>CART_005</t>
  </si>
  <si>
    <t>Cart shows correct price</t>
  </si>
  <si>
    <t>Open cart and inspect price</t>
  </si>
  <si>
    <t>Price matches product price</t>
  </si>
  <si>
    <t>AUTO_CART_005</t>
  </si>
  <si>
    <t>CART_006</t>
  </si>
  <si>
    <t>Cart shows correct quantity</t>
  </si>
  <si>
    <t>Open cart and inspect quantity</t>
  </si>
  <si>
    <t>Quantity matches selected quantity</t>
  </si>
  <si>
    <t>AUTO_CART_006</t>
  </si>
  <si>
    <t>CART_007</t>
  </si>
  <si>
    <t>Cart shows correct total</t>
  </si>
  <si>
    <t>Open cart and inspect total</t>
  </si>
  <si>
    <t>Line total is correct</t>
  </si>
  <si>
    <t>AUTO_CART_007</t>
  </si>
  <si>
    <t>CART_008</t>
  </si>
  <si>
    <t>Multiple Items</t>
  </si>
  <si>
    <t>Two different products can be added to cart</t>
  </si>
  <si>
    <t>Add product A then product B and open cart</t>
  </si>
  <si>
    <t>Both products are listed</t>
  </si>
  <si>
    <t>AUTO_CART_008</t>
  </si>
  <si>
    <t>CART_009</t>
  </si>
  <si>
    <t>Remove</t>
  </si>
  <si>
    <t>Remove icon/button is available</t>
  </si>
  <si>
    <t>Cart page with item open</t>
  </si>
  <si>
    <t>Inspect cart row</t>
  </si>
  <si>
    <t>Remove control is visible</t>
  </si>
  <si>
    <t>AUTO_CART_009</t>
  </si>
  <si>
    <t>CART_010</t>
  </si>
  <si>
    <t>Removing one item updates cart</t>
  </si>
  <si>
    <t>Cart contains one or more items</t>
  </si>
  <si>
    <t>Click remove on an item</t>
  </si>
  <si>
    <t>Selected item is removed</t>
  </si>
  <si>
    <t>AUTO_CART_010</t>
  </si>
  <si>
    <t>CART_011</t>
  </si>
  <si>
    <t>Removing last item shows empty cart message</t>
  </si>
  <si>
    <t>Cart contains one item</t>
  </si>
  <si>
    <t>Remove last item</t>
  </si>
  <si>
    <t>Empty cart message appears</t>
  </si>
  <si>
    <t>AUTO_CART_011</t>
  </si>
  <si>
    <t>CART_012</t>
  </si>
  <si>
    <t>Persistence</t>
  </si>
  <si>
    <t>Cart item remains after navigating away and back</t>
  </si>
  <si>
    <t>Go to homepage/products then return to cart</t>
  </si>
  <si>
    <t>Item is still present</t>
  </si>
  <si>
    <t>AUTO_CART_012</t>
  </si>
  <si>
    <t>CART_013</t>
  </si>
  <si>
    <t>Continue shopping from add-to-cart flow preserves cart content</t>
  </si>
  <si>
    <t>One item already added</t>
  </si>
  <si>
    <t>Add another or navigate around</t>
  </si>
  <si>
    <t>Previously added item remains in cart</t>
  </si>
  <si>
    <t>AUTO_CART_013</t>
  </si>
  <si>
    <t>CART_014</t>
  </si>
  <si>
    <t>Totals</t>
  </si>
  <si>
    <t>Cart page remains stable with multiple items</t>
  </si>
  <si>
    <t>Two items added</t>
  </si>
  <si>
    <t>Open cart and inspect rows</t>
  </si>
  <si>
    <t>Page renders all rows correctly</t>
  </si>
  <si>
    <t>AUTO_CART_014</t>
  </si>
  <si>
    <t>CART_015</t>
  </si>
  <si>
    <t>Checkout Entry</t>
  </si>
  <si>
    <t>Proceed To Checkout button is visible when cart has item</t>
  </si>
  <si>
    <t>Cart contains at least one item</t>
  </si>
  <si>
    <t>Proceed To Checkout button is visible</t>
  </si>
  <si>
    <t>AUTO_CART_015</t>
  </si>
  <si>
    <t>CART_016</t>
  </si>
  <si>
    <t>Proceed To Checkout from cart advances flow</t>
  </si>
  <si>
    <t>Click Proceed To Checkout</t>
  </si>
  <si>
    <t>Login prompt or checkout page appears</t>
  </si>
  <si>
    <t>AUTO_CART_016</t>
  </si>
  <si>
    <t>CHK_001</t>
  </si>
  <si>
    <t>Access Control</t>
  </si>
  <si>
    <t>Checkout requires a non-empty cart</t>
  </si>
  <si>
    <t>Cart empty</t>
  </si>
  <si>
    <t>Try to proceed into checkout from cart flow</t>
  </si>
  <si>
    <t>Checkout cannot complete with empty cart</t>
  </si>
  <si>
    <t>AUTO_CHECKOUT_001</t>
  </si>
  <si>
    <t>CHK_002</t>
  </si>
  <si>
    <t>Auth Gate</t>
  </si>
  <si>
    <t>Proceed to checkout without login redirects or prompts login</t>
  </si>
  <si>
    <t>Cart has item and user is logged out</t>
  </si>
  <si>
    <t>User is asked to login/register or redirected appropriately</t>
  </si>
  <si>
    <t>AUTO_CHECKOUT_002</t>
  </si>
  <si>
    <t>CHK_003</t>
  </si>
  <si>
    <t>Proceed to checkout after login opens checkout page</t>
  </si>
  <si>
    <t>Cart has item and user is logged in</t>
  </si>
  <si>
    <t>Checkout page opens</t>
  </si>
  <si>
    <t>AUTO_CHECKOUT_003</t>
  </si>
  <si>
    <t>CHK_004</t>
  </si>
  <si>
    <t>Address</t>
  </si>
  <si>
    <t>Address details section is visible</t>
  </si>
  <si>
    <t>Checkout page open</t>
  </si>
  <si>
    <t>Inspect page sections</t>
  </si>
  <si>
    <t>Address Details section is visible</t>
  </si>
  <si>
    <t>AUTO_CHECKOUT_004</t>
  </si>
  <si>
    <t>CHK_005</t>
  </si>
  <si>
    <t>Order Review</t>
  </si>
  <si>
    <t>Review your order section is visible</t>
  </si>
  <si>
    <t>Review Your Order section is visible</t>
  </si>
  <si>
    <t>AUTO_CHECKOUT_005</t>
  </si>
  <si>
    <t>CHK_006</t>
  </si>
  <si>
    <t>Order summary shows item description</t>
  </si>
  <si>
    <t>Inspect order table</t>
  </si>
  <si>
    <t>Item description is visible</t>
  </si>
  <si>
    <t>AUTO_CHECKOUT_006</t>
  </si>
  <si>
    <t>CHK_007</t>
  </si>
  <si>
    <t>Order summary shows price quantity and total</t>
  </si>
  <si>
    <t>Price, quantity and total columns are visible</t>
  </si>
  <si>
    <t>AUTO_CHECKOUT_007</t>
  </si>
  <si>
    <t>CHK_008</t>
  </si>
  <si>
    <t>Comment</t>
  </si>
  <si>
    <t>Comment textarea is visible</t>
  </si>
  <si>
    <t>Observe comment area</t>
  </si>
  <si>
    <t>AUTO_CHECKOUT_008</t>
  </si>
  <si>
    <t>CHK_009</t>
  </si>
  <si>
    <t>User can type order comment</t>
  </si>
  <si>
    <t>Enter text in comment field</t>
  </si>
  <si>
    <t>Text is accepted</t>
  </si>
  <si>
    <t>AUTO_CHECKOUT_009</t>
  </si>
  <si>
    <t>CHK_010</t>
  </si>
  <si>
    <t>Place Order</t>
  </si>
  <si>
    <t>Place Order button is visible</t>
  </si>
  <si>
    <t>Inspect action area</t>
  </si>
  <si>
    <t>AUTO_CHECKOUT_010</t>
  </si>
  <si>
    <t>CHK_011</t>
  </si>
  <si>
    <t>Place Order action moves user to payment step/page</t>
  </si>
  <si>
    <t>Click Place Order</t>
  </si>
  <si>
    <t>Payment step/page opens</t>
  </si>
  <si>
    <t>AUTO_CHECKOUT_011</t>
  </si>
  <si>
    <t>CHK_012</t>
  </si>
  <si>
    <t>Refreshing checkout page does not corrupt visible order details</t>
  </si>
  <si>
    <t>Refresh page</t>
  </si>
  <si>
    <t>Checkout remains usable or redirects predictably</t>
  </si>
  <si>
    <t>AUTO_CHECKOUT_012</t>
  </si>
  <si>
    <t>CONT_001</t>
  </si>
  <si>
    <t>Contact Us</t>
  </si>
  <si>
    <t>Contact Us page opens</t>
  </si>
  <si>
    <t>AUTO_CONTACT_US_001</t>
  </si>
  <si>
    <t>CONT_002</t>
  </si>
  <si>
    <t>Name field is visible</t>
  </si>
  <si>
    <t>Contact page open</t>
  </si>
  <si>
    <t>Inspect form</t>
  </si>
  <si>
    <t>AUTO_CONTACT_US_002</t>
  </si>
  <si>
    <t>CONT_003</t>
  </si>
  <si>
    <t>Email field is visible</t>
  </si>
  <si>
    <t>AUTO_CONTACT_US_003</t>
  </si>
  <si>
    <t>CONT_004</t>
  </si>
  <si>
    <t>Subject field is visible</t>
  </si>
  <si>
    <t>AUTO_CONTACT_US_004</t>
  </si>
  <si>
    <t>CONT_005</t>
  </si>
  <si>
    <t>Message field is visible</t>
  </si>
  <si>
    <t>Message textarea is visible</t>
  </si>
  <si>
    <t>AUTO_CONTACT_US_005</t>
  </si>
  <si>
    <t>CONT_006</t>
  </si>
  <si>
    <t>Submit button is visible</t>
  </si>
  <si>
    <t>AUTO_CONTACT_US_006</t>
  </si>
  <si>
    <t>CONT_007</t>
  </si>
  <si>
    <t>Validation</t>
  </si>
  <si>
    <t>Empty form submission is blocked</t>
  </si>
  <si>
    <t>Leave required fields blank and submit</t>
  </si>
  <si>
    <t>Submission does not succeed</t>
  </si>
  <si>
    <t>AUTO_CONTACT_US_007</t>
  </si>
  <si>
    <t>CONT_008</t>
  </si>
  <si>
    <t>Invalid email format is rejected</t>
  </si>
  <si>
    <t>Enter invalid email format and fill others, submit</t>
  </si>
  <si>
    <t>Email validation or non-success behavior occurs</t>
  </si>
  <si>
    <t>AUTO_CONTACT_US_008</t>
  </si>
  <si>
    <t>CONT_009</t>
  </si>
  <si>
    <t>Valid contact form submits successfully</t>
  </si>
  <si>
    <t>Fill valid name email subject message and submit</t>
  </si>
  <si>
    <t>Success message is shown</t>
  </si>
  <si>
    <t>AUTO_CONTACT_US_009</t>
  </si>
  <si>
    <t>CONT_010</t>
  </si>
  <si>
    <t>Attachment</t>
  </si>
  <si>
    <t>File upload control is visible if present</t>
  </si>
  <si>
    <t>Inspect form for upload control</t>
  </si>
  <si>
    <t>Upload control is visible when available</t>
  </si>
  <si>
    <t>AUTO_CONTACT_US_010</t>
  </si>
  <si>
    <t>CONT_011</t>
  </si>
  <si>
    <t>Alert Handling</t>
  </si>
  <si>
    <t>Submission confirmation alert can be accepted if shown</t>
  </si>
  <si>
    <t>Valid form filled</t>
  </si>
  <si>
    <t>Submit contact form and accept alert if prompted</t>
  </si>
  <si>
    <t>Submission completes successfully</t>
  </si>
  <si>
    <t>AUTO_CONTACT_US_011</t>
  </si>
  <si>
    <t>CONT_012</t>
  </si>
  <si>
    <t>Home button/return link works after successful submission</t>
  </si>
  <si>
    <t>Contact form submitted successfully</t>
  </si>
  <si>
    <t>Click Home or return navigation</t>
  </si>
  <si>
    <t>User is navigated back appropriately</t>
  </si>
  <si>
    <t>AUTO_CONTACT_US_012</t>
  </si>
  <si>
    <t>FLOW_001</t>
  </si>
  <si>
    <t>Combined Flows</t>
  </si>
  <si>
    <t>Auth + Header</t>
  </si>
  <si>
    <t>New user can sign up then appears logged in on homepage</t>
  </si>
  <si>
    <t>E2E</t>
  </si>
  <si>
    <t>User has unique email</t>
  </si>
  <si>
    <t>Complete signup then continue to homepage</t>
  </si>
  <si>
    <t>Logged-in username is visible on homepage</t>
  </si>
  <si>
    <t>AUTO_COMBINED_FLOWS_001</t>
  </si>
  <si>
    <t>FLOW_002</t>
  </si>
  <si>
    <t>Auth + Products</t>
  </si>
  <si>
    <t>Logged-in user can open products after login</t>
  </si>
  <si>
    <t>Navigate to Products from header</t>
  </si>
  <si>
    <t>Products page opens and session stays active</t>
  </si>
  <si>
    <t>AUTO_COMBINED_FLOWS_002</t>
  </si>
  <si>
    <t>FLOW_003</t>
  </si>
  <si>
    <t>Auth + Cart</t>
  </si>
  <si>
    <t>Logged-in user can add product to cart from products page</t>
  </si>
  <si>
    <t>User logged in and on products page</t>
  </si>
  <si>
    <t>Add product and open cart</t>
  </si>
  <si>
    <t>Added product is in cart</t>
  </si>
  <si>
    <t>AUTO_COMBINED_FLOWS_003</t>
  </si>
  <si>
    <t>FLOW_004</t>
  </si>
  <si>
    <t>Guest Checkout Gate</t>
  </si>
  <si>
    <t>Guest user adds item then is prompted to login at checkout</t>
  </si>
  <si>
    <t>Add item to cart, open cart, click Proceed To Checkout</t>
  </si>
  <si>
    <t>User is prompted to login/register</t>
  </si>
  <si>
    <t>AUTO_COMBINED_FLOWS_004</t>
  </si>
  <si>
    <t>FLOW_005</t>
  </si>
  <si>
    <t>Login + Checkout</t>
  </si>
  <si>
    <t>Existing user logs in and proceeds to checkout</t>
  </si>
  <si>
    <t>Existing user credentials available and item in cart</t>
  </si>
  <si>
    <t>Login then go to cart and checkout</t>
  </si>
  <si>
    <t>AUTO_COMBINED_FLOWS_005</t>
  </si>
  <si>
    <t>FLOW_006</t>
  </si>
  <si>
    <t>Search + Cart</t>
  </si>
  <si>
    <t>User searches product then adds one matching result to cart</t>
  </si>
  <si>
    <t>Search for a keyword then add one result to cart</t>
  </si>
  <si>
    <t>Correct searched product is added</t>
  </si>
  <si>
    <t>AUTO_COMBINED_FLOWS_006</t>
  </si>
  <si>
    <t>FLOW_007</t>
  </si>
  <si>
    <t>Detail + Cart</t>
  </si>
  <si>
    <t>User opens product detail then adds selected quantity to cart</t>
  </si>
  <si>
    <t>Open a product detail, change quantity, add to cart</t>
  </si>
  <si>
    <t>Cart contains selected quantity</t>
  </si>
  <si>
    <t>AUTO_COMBINED_FLOWS_007</t>
  </si>
  <si>
    <t>FLOW_008</t>
  </si>
  <si>
    <t>Cart + Remove</t>
  </si>
  <si>
    <t>User adds two products and removes one from cart</t>
  </si>
  <si>
    <t>Add two items, open cart, remove one item</t>
  </si>
  <si>
    <t>Remaining item stays in cart, removed item disappears</t>
  </si>
  <si>
    <t>AUTO_COMBINED_FLOWS_008</t>
  </si>
  <si>
    <t>FLOW_009</t>
  </si>
  <si>
    <t>Login Retry</t>
  </si>
  <si>
    <t>User fails login once then succeeds with correct credentials</t>
  </si>
  <si>
    <t>Existing user available</t>
  </si>
  <si>
    <t>Attempt invalid login then valid login</t>
  </si>
  <si>
    <t>Final state is logged in and no stale error blocks use</t>
  </si>
  <si>
    <t>AUTO_COMBINED_FLOWS_009</t>
  </si>
  <si>
    <t>FLOW_010</t>
  </si>
  <si>
    <t>Signup Duplicate</t>
  </si>
  <si>
    <t>User signs up successfully, logs out, then duplicate signup is rejected</t>
  </si>
  <si>
    <t>Unique test email available</t>
  </si>
  <si>
    <t>Create account, logout, try signup again with same email</t>
  </si>
  <si>
    <t>Duplicate email error appears</t>
  </si>
  <si>
    <t>AUTO_COMBINED_FLOWS_010</t>
  </si>
  <si>
    <t>FLOW_011</t>
  </si>
  <si>
    <t>Checkout Comment</t>
  </si>
  <si>
    <t>Logged-in user adds product, reaches checkout and submits comment</t>
  </si>
  <si>
    <t>Login, add product, open checkout, type comment</t>
  </si>
  <si>
    <t>Comment is accepted on checkout page</t>
  </si>
  <si>
    <t>AUTO_COMBINED_FLOWS_011</t>
  </si>
  <si>
    <t>FLOW_012</t>
  </si>
  <si>
    <t>Contact + Navigation</t>
  </si>
  <si>
    <t>User submits contact form and returns home</t>
  </si>
  <si>
    <t>Submit valid form and use home navigation</t>
  </si>
  <si>
    <t>Success message shown and user can return home</t>
  </si>
  <si>
    <t>AUTO_COMBINED_FLOWS_012</t>
  </si>
  <si>
    <t>FLOW_013</t>
  </si>
  <si>
    <t>Session Persistence</t>
  </si>
  <si>
    <t>User logs in, navigates Home &gt; Products &gt; Cart and stays logged in</t>
  </si>
  <si>
    <t>Login then move across header pages</t>
  </si>
  <si>
    <t>Logged-in state persists across navigation</t>
  </si>
  <si>
    <t>AUTO_COMBINED_FLOWS_013</t>
  </si>
  <si>
    <t>FLOW_014</t>
  </si>
  <si>
    <t>Logout Protection</t>
  </si>
  <si>
    <t>After logout user cannot use browser back to regain authenticated UI</t>
  </si>
  <si>
    <t>Login, logout, press browser Back</t>
  </si>
  <si>
    <t>Authenticated header state is not restored</t>
  </si>
  <si>
    <t>AUTO_COMBINED_FLOWS_014</t>
  </si>
  <si>
    <t>FLOW_015</t>
  </si>
  <si>
    <t>Delete Account Cleanup</t>
  </si>
  <si>
    <t>New user signs up then deletes account successfully</t>
  </si>
  <si>
    <t>Complete signup/login and use Delete Account</t>
  </si>
  <si>
    <t>Account Deleted confirmation appears</t>
  </si>
  <si>
    <t>AUTO_COMBINED_FLOWS_015</t>
  </si>
  <si>
    <t>Bug ID</t>
  </si>
  <si>
    <t>Linked Test Case ID</t>
  </si>
  <si>
    <t>Summary</t>
  </si>
  <si>
    <t>Severity</t>
  </si>
  <si>
    <t>Environment</t>
  </si>
  <si>
    <t>Steps to Reproduce</t>
  </si>
  <si>
    <t>Assigned To</t>
  </si>
  <si>
    <t>Evidence Link</t>
  </si>
  <si>
    <t>Notes</t>
  </si>
  <si>
    <t>BUG_001</t>
  </si>
  <si>
    <t>Incorrect login error not shown for invalid credentials</t>
  </si>
  <si>
    <t>Major</t>
  </si>
  <si>
    <t>Chrome latest</t>
  </si>
  <si>
    <t>User on login page</t>
  </si>
  <si>
    <t>Enter wrong email and password, click Login</t>
  </si>
  <si>
    <t>Application should show incorrect email/password message</t>
  </si>
  <si>
    <t>Open</t>
  </si>
  <si>
    <t>BUG_002</t>
  </si>
  <si>
    <t>No empty-state message after invalid product search</t>
  </si>
  <si>
    <t>Minor</t>
  </si>
  <si>
    <t>User on products page</t>
  </si>
  <si>
    <t>System should show empty-state or no-results message</t>
  </si>
  <si>
    <t>Requirement ID</t>
  </si>
  <si>
    <t>Business Flow</t>
  </si>
  <si>
    <t>Feature Sheet</t>
  </si>
  <si>
    <t>Automation Candidate</t>
  </si>
  <si>
    <t>Suggested Spec File</t>
  </si>
  <si>
    <t>Coverage Status</t>
  </si>
  <si>
    <t>REQ_001</t>
  </si>
  <si>
    <t>homepage.spec.js</t>
  </si>
  <si>
    <t>Planned</t>
  </si>
  <si>
    <t>REQ_002</t>
  </si>
  <si>
    <t>REQ_003</t>
  </si>
  <si>
    <t>REQ_004</t>
  </si>
  <si>
    <t>REQ_005</t>
  </si>
  <si>
    <t>REQ_006</t>
  </si>
  <si>
    <t>REQ_007</t>
  </si>
  <si>
    <t>REQ_008</t>
  </si>
  <si>
    <t>REQ_009</t>
  </si>
  <si>
    <t>REQ_010</t>
  </si>
  <si>
    <t>REQ_011</t>
  </si>
  <si>
    <t>REQ_012</t>
  </si>
  <si>
    <t>REQ_013</t>
  </si>
  <si>
    <t>REQ_014</t>
  </si>
  <si>
    <t>REQ_015</t>
  </si>
  <si>
    <t>REQ_016</t>
  </si>
  <si>
    <t>REQ_017</t>
  </si>
  <si>
    <t>REQ_018</t>
  </si>
  <si>
    <t>REQ_019</t>
  </si>
  <si>
    <t>signup_login.spec.js</t>
  </si>
  <si>
    <t>REQ_020</t>
  </si>
  <si>
    <t>REQ_021</t>
  </si>
  <si>
    <t>REQ_022</t>
  </si>
  <si>
    <t>REQ_023</t>
  </si>
  <si>
    <t>REQ_024</t>
  </si>
  <si>
    <t>REQ_025</t>
  </si>
  <si>
    <t>REQ_026</t>
  </si>
  <si>
    <t>REQ_027</t>
  </si>
  <si>
    <t>REQ_028</t>
  </si>
  <si>
    <t>REQ_029</t>
  </si>
  <si>
    <t>REQ_030</t>
  </si>
  <si>
    <t>REQ_031</t>
  </si>
  <si>
    <t>REQ_032</t>
  </si>
  <si>
    <t>REQ_033</t>
  </si>
  <si>
    <t>REQ_034</t>
  </si>
  <si>
    <t>REQ_035</t>
  </si>
  <si>
    <t>REQ_036</t>
  </si>
  <si>
    <t>REQ_037</t>
  </si>
  <si>
    <t>REQ_038</t>
  </si>
  <si>
    <t>REQ_039</t>
  </si>
  <si>
    <t>REQ_040</t>
  </si>
  <si>
    <t>REQ_041</t>
  </si>
  <si>
    <t>REQ_042</t>
  </si>
  <si>
    <t>REQ_043</t>
  </si>
  <si>
    <t>REQ_044</t>
  </si>
  <si>
    <t>REQ_045</t>
  </si>
  <si>
    <t>REQ_046</t>
  </si>
  <si>
    <t>REQ_047</t>
  </si>
  <si>
    <t>REQ_048</t>
  </si>
  <si>
    <t>REQ_049</t>
  </si>
  <si>
    <t>REQ_050</t>
  </si>
  <si>
    <t>REQ_051</t>
  </si>
  <si>
    <t>REQ_052</t>
  </si>
  <si>
    <t>REQ_053</t>
  </si>
  <si>
    <t>REQ_054</t>
  </si>
  <si>
    <t>REQ_055</t>
  </si>
  <si>
    <t>REQ_056</t>
  </si>
  <si>
    <t>REQ_057</t>
  </si>
  <si>
    <t>REQ_058</t>
  </si>
  <si>
    <t>REQ_059</t>
  </si>
  <si>
    <t>products.spec.js</t>
  </si>
  <si>
    <t>REQ_060</t>
  </si>
  <si>
    <t>REQ_061</t>
  </si>
  <si>
    <t>REQ_062</t>
  </si>
  <si>
    <t>REQ_063</t>
  </si>
  <si>
    <t>REQ_064</t>
  </si>
  <si>
    <t>REQ_065</t>
  </si>
  <si>
    <t>REQ_066</t>
  </si>
  <si>
    <t>REQ_067</t>
  </si>
  <si>
    <t>REQ_068</t>
  </si>
  <si>
    <t>REQ_069</t>
  </si>
  <si>
    <t>REQ_070</t>
  </si>
  <si>
    <t>REQ_071</t>
  </si>
  <si>
    <t>REQ_072</t>
  </si>
  <si>
    <t>REQ_073</t>
  </si>
  <si>
    <t>REQ_074</t>
  </si>
  <si>
    <t>REQ_075</t>
  </si>
  <si>
    <t>REQ_076</t>
  </si>
  <si>
    <t>REQ_077</t>
  </si>
  <si>
    <t>REQ_078</t>
  </si>
  <si>
    <t>REQ_079</t>
  </si>
  <si>
    <t>REQ_080</t>
  </si>
  <si>
    <t>REQ_081</t>
  </si>
  <si>
    <t>REQ_082</t>
  </si>
  <si>
    <t>REQ_083</t>
  </si>
  <si>
    <t>cart.spec.js</t>
  </si>
  <si>
    <t>REQ_084</t>
  </si>
  <si>
    <t>REQ_085</t>
  </si>
  <si>
    <t>REQ_086</t>
  </si>
  <si>
    <t>REQ_087</t>
  </si>
  <si>
    <t>REQ_088</t>
  </si>
  <si>
    <t>REQ_089</t>
  </si>
  <si>
    <t>REQ_090</t>
  </si>
  <si>
    <t>REQ_091</t>
  </si>
  <si>
    <t>REQ_092</t>
  </si>
  <si>
    <t>REQ_093</t>
  </si>
  <si>
    <t>REQ_094</t>
  </si>
  <si>
    <t>REQ_095</t>
  </si>
  <si>
    <t>REQ_096</t>
  </si>
  <si>
    <t>REQ_097</t>
  </si>
  <si>
    <t>REQ_098</t>
  </si>
  <si>
    <t>REQ_099</t>
  </si>
  <si>
    <t>checkout.spec.js</t>
  </si>
  <si>
    <t>REQ_100</t>
  </si>
  <si>
    <t>REQ_101</t>
  </si>
  <si>
    <t>REQ_102</t>
  </si>
  <si>
    <t>REQ_103</t>
  </si>
  <si>
    <t>REQ_104</t>
  </si>
  <si>
    <t>REQ_105</t>
  </si>
  <si>
    <t>REQ_106</t>
  </si>
  <si>
    <t>REQ_107</t>
  </si>
  <si>
    <t>REQ_108</t>
  </si>
  <si>
    <t>REQ_109</t>
  </si>
  <si>
    <t>REQ_110</t>
  </si>
  <si>
    <t>REQ_111</t>
  </si>
  <si>
    <t>contact_us.spec.js</t>
  </si>
  <si>
    <t>REQ_112</t>
  </si>
  <si>
    <t>REQ_113</t>
  </si>
  <si>
    <t>REQ_114</t>
  </si>
  <si>
    <t>REQ_115</t>
  </si>
  <si>
    <t>REQ_116</t>
  </si>
  <si>
    <t>REQ_117</t>
  </si>
  <si>
    <t>REQ_118</t>
  </si>
  <si>
    <t>REQ_119</t>
  </si>
  <si>
    <t>REQ_120</t>
  </si>
  <si>
    <t>REQ_121</t>
  </si>
  <si>
    <t>REQ_122</t>
  </si>
  <si>
    <t>REQ_123</t>
  </si>
  <si>
    <t>combined_flows.spec.js</t>
  </si>
  <si>
    <t>REQ_124</t>
  </si>
  <si>
    <t>REQ_125</t>
  </si>
  <si>
    <t>REQ_126</t>
  </si>
  <si>
    <t>REQ_127</t>
  </si>
  <si>
    <t>REQ_128</t>
  </si>
  <si>
    <t>REQ_129</t>
  </si>
  <si>
    <t>REQ_130</t>
  </si>
  <si>
    <t>REQ_131</t>
  </si>
  <si>
    <t>REQ_132</t>
  </si>
  <si>
    <t>REQ_133</t>
  </si>
  <si>
    <t>REQ_134</t>
  </si>
  <si>
    <t>REQ_135</t>
  </si>
  <si>
    <t>REQ_136</t>
  </si>
  <si>
    <t>REQ_137</t>
  </si>
  <si>
    <t xml:space="preserve">  Testing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</si>
</sst>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4"/>
      <color rgb="FFFFFFFF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2F75B5"/>
      </patternFill>
    </fill>
    <fill>
      <patternFill patternType="solid">
        <fgColor rgb="FFD9EAF7"/>
      </patternFill>
    </fill>
  </fills>
  <borders count="4">
    <border>
      <left/>
      <right/>
      <top/>
      <bottom/>
      <diagonal/>
    </border>
    <border>
      <left style="thin">
        <color rgb="FFC9C9C9"/>
      </left>
      <right style="thin">
        <color rgb="FFC9C9C9"/>
      </right>
      <top style="thin">
        <color rgb="FFC9C9C9"/>
      </top>
      <bottom style="thin">
        <color rgb="FFC9C9C9"/>
      </bottom>
      <diagonal/>
    </border>
    <border>
      <left/>
      <right/>
      <top style="thin">
        <color rgb="FFC9C9C9"/>
      </top>
      <bottom style="thin">
        <color rgb="FFC9C9C9"/>
      </bottom>
      <diagonal/>
    </border>
    <border>
      <left/>
      <right style="thin">
        <color rgb="FFC9C9C9"/>
      </right>
      <top style="thin">
        <color rgb="FFC9C9C9"/>
      </top>
      <bottom style="thin">
        <color rgb="FFC9C9C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4" borderId="1" xfId="0" applyFont="1" applyFill="1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0" fillId="0" borderId="1" xfId="0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69"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0000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DDEBF7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DDEBF7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DDEBF7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DDEBF7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DDEBF7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DDEBF7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DDEBF7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Automation Coverage Distribution Across Application Modules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Dashboard!$B$4</c:f>
              <c:strCache>
                <c:ptCount val="1"/>
                <c:pt idx="0">
                  <c:v>Test Cases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Dashboard!$A$5:$A$11</c:f>
              <c:strCache>
                <c:ptCount val="7"/>
                <c:pt idx="0">
                  <c:v>Homepage</c:v>
                </c:pt>
                <c:pt idx="1">
                  <c:v>Signup_Login</c:v>
                </c:pt>
                <c:pt idx="2">
                  <c:v>Products</c:v>
                </c:pt>
                <c:pt idx="3">
                  <c:v>Cart</c:v>
                </c:pt>
                <c:pt idx="4">
                  <c:v>Checkout</c:v>
                </c:pt>
                <c:pt idx="5">
                  <c:v>Contact_Us</c:v>
                </c:pt>
                <c:pt idx="6">
                  <c:v>Combined_Flows</c:v>
                </c:pt>
              </c:strCache>
            </c:strRef>
          </c:cat>
          <c:val>
            <c:numRef>
              <c:f>Dashboard!$B$5:$B$11</c:f>
              <c:numCache>
                <c:formatCode>General</c:formatCode>
                <c:ptCount val="7"/>
                <c:pt idx="0">
                  <c:v>18</c:v>
                </c:pt>
                <c:pt idx="1">
                  <c:v>40</c:v>
                </c:pt>
                <c:pt idx="2">
                  <c:v>24</c:v>
                </c:pt>
                <c:pt idx="3">
                  <c:v>16</c:v>
                </c:pt>
                <c:pt idx="4">
                  <c:v>12</c:v>
                </c:pt>
                <c:pt idx="5">
                  <c:v>12</c:v>
                </c:pt>
                <c:pt idx="6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DF-4E13-AB60-4CE59DD221FD}"/>
            </c:ext>
          </c:extLst>
        </c:ser>
        <c:ser>
          <c:idx val="1"/>
          <c:order val="1"/>
          <c:tx>
            <c:strRef>
              <c:f>Dashboard!$C$4</c:f>
              <c:strCache>
                <c:ptCount val="1"/>
                <c:pt idx="0">
                  <c:v>Smoke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Dashboard!$A$5:$A$11</c:f>
              <c:strCache>
                <c:ptCount val="7"/>
                <c:pt idx="0">
                  <c:v>Homepage</c:v>
                </c:pt>
                <c:pt idx="1">
                  <c:v>Signup_Login</c:v>
                </c:pt>
                <c:pt idx="2">
                  <c:v>Products</c:v>
                </c:pt>
                <c:pt idx="3">
                  <c:v>Cart</c:v>
                </c:pt>
                <c:pt idx="4">
                  <c:v>Checkout</c:v>
                </c:pt>
                <c:pt idx="5">
                  <c:v>Contact_Us</c:v>
                </c:pt>
                <c:pt idx="6">
                  <c:v>Combined_Flows</c:v>
                </c:pt>
              </c:strCache>
            </c:strRef>
          </c:cat>
          <c:val>
            <c:numRef>
              <c:f>Dashboard!$C$5:$C$11</c:f>
              <c:numCache>
                <c:formatCode>General</c:formatCode>
                <c:ptCount val="7"/>
                <c:pt idx="0">
                  <c:v>6</c:v>
                </c:pt>
                <c:pt idx="1">
                  <c:v>6</c:v>
                </c:pt>
                <c:pt idx="2">
                  <c:v>4</c:v>
                </c:pt>
                <c:pt idx="3">
                  <c:v>3</c:v>
                </c:pt>
                <c:pt idx="4">
                  <c:v>3</c:v>
                </c:pt>
                <c:pt idx="5">
                  <c:v>1</c:v>
                </c:pt>
                <c:pt idx="6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EDF-4E13-AB60-4CE59DD221FD}"/>
            </c:ext>
          </c:extLst>
        </c:ser>
        <c:ser>
          <c:idx val="2"/>
          <c:order val="2"/>
          <c:tx>
            <c:strRef>
              <c:f>Dashboard!$D$4</c:f>
              <c:strCache>
                <c:ptCount val="1"/>
                <c:pt idx="0">
                  <c:v>Regression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Dashboard!$A$5:$A$11</c:f>
              <c:strCache>
                <c:ptCount val="7"/>
                <c:pt idx="0">
                  <c:v>Homepage</c:v>
                </c:pt>
                <c:pt idx="1">
                  <c:v>Signup_Login</c:v>
                </c:pt>
                <c:pt idx="2">
                  <c:v>Products</c:v>
                </c:pt>
                <c:pt idx="3">
                  <c:v>Cart</c:v>
                </c:pt>
                <c:pt idx="4">
                  <c:v>Checkout</c:v>
                </c:pt>
                <c:pt idx="5">
                  <c:v>Contact_Us</c:v>
                </c:pt>
                <c:pt idx="6">
                  <c:v>Combined_Flows</c:v>
                </c:pt>
              </c:strCache>
            </c:strRef>
          </c:cat>
          <c:val>
            <c:numRef>
              <c:f>Dashboard!$D$5:$D$11</c:f>
              <c:numCache>
                <c:formatCode>General</c:formatCode>
                <c:ptCount val="7"/>
                <c:pt idx="0">
                  <c:v>12</c:v>
                </c:pt>
                <c:pt idx="1">
                  <c:v>34</c:v>
                </c:pt>
                <c:pt idx="2">
                  <c:v>20</c:v>
                </c:pt>
                <c:pt idx="3">
                  <c:v>13</c:v>
                </c:pt>
                <c:pt idx="4">
                  <c:v>9</c:v>
                </c:pt>
                <c:pt idx="5">
                  <c:v>11</c:v>
                </c:pt>
                <c:pt idx="6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EDF-4E13-AB60-4CE59DD221FD}"/>
            </c:ext>
          </c:extLst>
        </c:ser>
        <c:ser>
          <c:idx val="3"/>
          <c:order val="3"/>
          <c:tx>
            <c:strRef>
              <c:f>Dashboard!$E$4</c:f>
              <c:strCache>
                <c:ptCount val="1"/>
                <c:pt idx="0">
                  <c:v>Playwright Ready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Dashboard!$A$5:$A$11</c:f>
              <c:strCache>
                <c:ptCount val="7"/>
                <c:pt idx="0">
                  <c:v>Homepage</c:v>
                </c:pt>
                <c:pt idx="1">
                  <c:v>Signup_Login</c:v>
                </c:pt>
                <c:pt idx="2">
                  <c:v>Products</c:v>
                </c:pt>
                <c:pt idx="3">
                  <c:v>Cart</c:v>
                </c:pt>
                <c:pt idx="4">
                  <c:v>Checkout</c:v>
                </c:pt>
                <c:pt idx="5">
                  <c:v>Contact_Us</c:v>
                </c:pt>
                <c:pt idx="6">
                  <c:v>Combined_Flows</c:v>
                </c:pt>
              </c:strCache>
            </c:strRef>
          </c:cat>
          <c:val>
            <c:numRef>
              <c:f>Dashboard!$E$5:$E$11</c:f>
              <c:numCache>
                <c:formatCode>General</c:formatCode>
                <c:ptCount val="7"/>
                <c:pt idx="0">
                  <c:v>18</c:v>
                </c:pt>
                <c:pt idx="1">
                  <c:v>40</c:v>
                </c:pt>
                <c:pt idx="2">
                  <c:v>24</c:v>
                </c:pt>
                <c:pt idx="3">
                  <c:v>16</c:v>
                </c:pt>
                <c:pt idx="4">
                  <c:v>12</c:v>
                </c:pt>
                <c:pt idx="5">
                  <c:v>12</c:v>
                </c:pt>
                <c:pt idx="6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EDF-4E13-AB60-4CE59DD221FD}"/>
            </c:ext>
          </c:extLst>
        </c:ser>
        <c:ser>
          <c:idx val="4"/>
          <c:order val="4"/>
          <c:tx>
            <c:strRef>
              <c:f>Dashboard!$F$4</c:f>
              <c:strCache>
                <c:ptCount val="1"/>
                <c:pt idx="0">
                  <c:v>Execution Status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Dashboard!$A$5:$A$11</c:f>
              <c:strCache>
                <c:ptCount val="7"/>
                <c:pt idx="0">
                  <c:v>Homepage</c:v>
                </c:pt>
                <c:pt idx="1">
                  <c:v>Signup_Login</c:v>
                </c:pt>
                <c:pt idx="2">
                  <c:v>Products</c:v>
                </c:pt>
                <c:pt idx="3">
                  <c:v>Cart</c:v>
                </c:pt>
                <c:pt idx="4">
                  <c:v>Checkout</c:v>
                </c:pt>
                <c:pt idx="5">
                  <c:v>Contact_Us</c:v>
                </c:pt>
                <c:pt idx="6">
                  <c:v>Combined_Flows</c:v>
                </c:pt>
              </c:strCache>
            </c:strRef>
          </c:cat>
          <c:val>
            <c:numRef>
              <c:f>Dashboard!$F$5:$F$11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EDF-4E13-AB60-4CE59DD221F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621363311"/>
        <c:axId val="1621362895"/>
      </c:barChart>
      <c:catAx>
        <c:axId val="16213633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1362895"/>
        <c:crosses val="autoZero"/>
        <c:auto val="1"/>
        <c:lblAlgn val="ctr"/>
        <c:lblOffset val="100"/>
        <c:noMultiLvlLbl val="0"/>
      </c:catAx>
      <c:valAx>
        <c:axId val="1621362895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6213633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Key Testing Metrics and Automation Progress Indicators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Dashboard!$A$15:$A$22</c:f>
              <c:strCache>
                <c:ptCount val="8"/>
                <c:pt idx="0">
                  <c:v>Total Test Cases</c:v>
                </c:pt>
                <c:pt idx="1">
                  <c:v>Total Smoke Cases</c:v>
                </c:pt>
                <c:pt idx="2">
                  <c:v>Total Regression Cases</c:v>
                </c:pt>
                <c:pt idx="3">
                  <c:v>Automation Candidates</c:v>
                </c:pt>
                <c:pt idx="4">
                  <c:v>Open Bugs</c:v>
                </c:pt>
                <c:pt idx="5">
                  <c:v>Closed Bugs</c:v>
                </c:pt>
                <c:pt idx="6">
                  <c:v>Traceability Planned</c:v>
                </c:pt>
                <c:pt idx="7">
                  <c:v>Traceability Automated</c:v>
                </c:pt>
              </c:strCache>
            </c:strRef>
          </c:cat>
          <c:val>
            <c:numRef>
              <c:f>Dashboard!$B$15:$B$22</c:f>
              <c:numCache>
                <c:formatCode>General</c:formatCode>
                <c:ptCount val="8"/>
                <c:pt idx="0">
                  <c:v>137</c:v>
                </c:pt>
                <c:pt idx="1">
                  <c:v>26</c:v>
                </c:pt>
                <c:pt idx="2">
                  <c:v>111</c:v>
                </c:pt>
                <c:pt idx="3">
                  <c:v>137</c:v>
                </c:pt>
                <c:pt idx="4">
                  <c:v>2</c:v>
                </c:pt>
                <c:pt idx="5">
                  <c:v>0</c:v>
                </c:pt>
                <c:pt idx="6">
                  <c:v>137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F3-42CA-9B4F-4A1B05F5F893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621364143"/>
        <c:axId val="1621364975"/>
      </c:barChart>
      <c:catAx>
        <c:axId val="16213641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1364975"/>
        <c:crosses val="autoZero"/>
        <c:auto val="1"/>
        <c:lblAlgn val="ctr"/>
        <c:lblOffset val="100"/>
        <c:noMultiLvlLbl val="0"/>
      </c:catAx>
      <c:valAx>
        <c:axId val="1621364975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13641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160020</xdr:colOff>
      <xdr:row>1</xdr:row>
      <xdr:rowOff>125730</xdr:rowOff>
    </xdr:from>
    <xdr:to>
      <xdr:col>13</xdr:col>
      <xdr:colOff>502920</xdr:colOff>
      <xdr:row>13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6D98098-DB02-4D8D-9853-59AADBB0C0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167640</xdr:colOff>
      <xdr:row>13</xdr:row>
      <xdr:rowOff>102870</xdr:rowOff>
    </xdr:from>
    <xdr:to>
      <xdr:col>13</xdr:col>
      <xdr:colOff>533400</xdr:colOff>
      <xdr:row>24</xdr:row>
      <xdr:rowOff>205740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BEF5134-6AAD-44DD-A85B-3C77A692DF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showGridLines="0" tabSelected="1" workbookViewId="0">
      <selection sqref="A1:F1"/>
    </sheetView>
  </sheetViews>
  <sheetFormatPr defaultRowHeight="14.4" x14ac:dyDescent="0.3"/>
  <cols>
    <col min="1" max="1" width="28" customWidth="1"/>
    <col min="2" max="6" width="18" customWidth="1"/>
  </cols>
  <sheetData>
    <row r="1" spans="1:6" x14ac:dyDescent="0.3">
      <c r="A1" s="6" t="s">
        <v>985</v>
      </c>
      <c r="B1" s="7"/>
      <c r="C1" s="7"/>
      <c r="D1" s="7"/>
      <c r="E1" s="7"/>
      <c r="F1" s="8"/>
    </row>
    <row r="3" spans="1:6" x14ac:dyDescent="0.3">
      <c r="A3" s="1" t="s">
        <v>0</v>
      </c>
    </row>
    <row r="4" spans="1:6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</row>
    <row r="5" spans="1:6" x14ac:dyDescent="0.3">
      <c r="A5" s="3" t="s">
        <v>7</v>
      </c>
      <c r="B5" s="3">
        <f>COUNTA(Homepage!A:A)-1</f>
        <v>18</v>
      </c>
      <c r="C5" s="3">
        <f>COUNTIF(Homepage!G:G,"Smoke")</f>
        <v>6</v>
      </c>
      <c r="D5" s="3">
        <f>COUNTIF(Homepage!G:G,"Regression")</f>
        <v>12</v>
      </c>
      <c r="E5" s="3">
        <f>COUNTIF(Homepage!K:K,"Yes")</f>
        <v>18</v>
      </c>
      <c r="F5" s="3" t="s">
        <v>8</v>
      </c>
    </row>
    <row r="6" spans="1:6" x14ac:dyDescent="0.3">
      <c r="A6" s="3" t="s">
        <v>9</v>
      </c>
      <c r="B6" s="3">
        <f>COUNTA(Signup_Login!A:A)-1</f>
        <v>40</v>
      </c>
      <c r="C6" s="3">
        <f>COUNTIF(Signup_Login!G:G,"Smoke")</f>
        <v>6</v>
      </c>
      <c r="D6" s="3">
        <f>COUNTIF(Signup_Login!G:G,"Regression")</f>
        <v>34</v>
      </c>
      <c r="E6" s="3">
        <f>COUNTIF(Signup_Login!K:K,"Yes")</f>
        <v>40</v>
      </c>
      <c r="F6" s="3" t="s">
        <v>8</v>
      </c>
    </row>
    <row r="7" spans="1:6" x14ac:dyDescent="0.3">
      <c r="A7" s="3" t="s">
        <v>10</v>
      </c>
      <c r="B7" s="3">
        <f>COUNTA(Products!A:A)-1</f>
        <v>24</v>
      </c>
      <c r="C7" s="3">
        <f>COUNTIF(Products!G:G,"Smoke")</f>
        <v>4</v>
      </c>
      <c r="D7" s="3">
        <f>COUNTIF(Products!G:G,"Regression")</f>
        <v>20</v>
      </c>
      <c r="E7" s="3">
        <f>COUNTIF(Products!K:K,"Yes")</f>
        <v>24</v>
      </c>
      <c r="F7" s="3" t="s">
        <v>8</v>
      </c>
    </row>
    <row r="8" spans="1:6" x14ac:dyDescent="0.3">
      <c r="A8" s="3" t="s">
        <v>11</v>
      </c>
      <c r="B8" s="3">
        <f>COUNTA(Cart!A:A)-1</f>
        <v>16</v>
      </c>
      <c r="C8" s="3">
        <f>COUNTIF(Cart!G:G,"Smoke")</f>
        <v>3</v>
      </c>
      <c r="D8" s="3">
        <f>COUNTIF(Cart!G:G,"Regression")</f>
        <v>13</v>
      </c>
      <c r="E8" s="3">
        <f>COUNTIF(Cart!K:K,"Yes")</f>
        <v>16</v>
      </c>
      <c r="F8" s="3" t="s">
        <v>8</v>
      </c>
    </row>
    <row r="9" spans="1:6" x14ac:dyDescent="0.3">
      <c r="A9" s="3" t="s">
        <v>12</v>
      </c>
      <c r="B9" s="3">
        <f>COUNTA(Checkout!A:A)-1</f>
        <v>12</v>
      </c>
      <c r="C9" s="3">
        <f>COUNTIF(Checkout!G:G,"Smoke")</f>
        <v>3</v>
      </c>
      <c r="D9" s="3">
        <f>COUNTIF(Checkout!G:G,"Regression")</f>
        <v>9</v>
      </c>
      <c r="E9" s="3">
        <f>COUNTIF(Checkout!K:K,"Yes")</f>
        <v>12</v>
      </c>
      <c r="F9" s="3" t="s">
        <v>8</v>
      </c>
    </row>
    <row r="10" spans="1:6" x14ac:dyDescent="0.3">
      <c r="A10" s="3" t="s">
        <v>13</v>
      </c>
      <c r="B10" s="3">
        <f>COUNTA(Contact_Us!A:A)-1</f>
        <v>12</v>
      </c>
      <c r="C10" s="3">
        <f>COUNTIF(Contact_Us!G:G,"Smoke")</f>
        <v>1</v>
      </c>
      <c r="D10" s="3">
        <f>COUNTIF(Contact_Us!G:G,"Regression")</f>
        <v>11</v>
      </c>
      <c r="E10" s="3">
        <f>COUNTIF(Contact_Us!K:K,"Yes")</f>
        <v>12</v>
      </c>
      <c r="F10" s="3" t="s">
        <v>8</v>
      </c>
    </row>
    <row r="11" spans="1:6" x14ac:dyDescent="0.3">
      <c r="A11" s="3" t="s">
        <v>14</v>
      </c>
      <c r="B11" s="3">
        <f>COUNTA(Combined_Flows!A:A)-1</f>
        <v>15</v>
      </c>
      <c r="C11" s="3">
        <f>COUNTIF(Combined_Flows!G:G,"Smoke")</f>
        <v>3</v>
      </c>
      <c r="D11" s="3">
        <f>COUNTIF(Combined_Flows!G:G,"Regression")</f>
        <v>12</v>
      </c>
      <c r="E11" s="3">
        <f>COUNTIF(Combined_Flows!K:K,"Yes")</f>
        <v>15</v>
      </c>
      <c r="F11" s="3" t="s">
        <v>8</v>
      </c>
    </row>
    <row r="14" spans="1:6" x14ac:dyDescent="0.3">
      <c r="A14" s="1" t="s">
        <v>15</v>
      </c>
    </row>
    <row r="15" spans="1:6" x14ac:dyDescent="0.3">
      <c r="A15" s="4" t="s">
        <v>16</v>
      </c>
      <c r="B15" s="3">
        <f>SUM(B5:B11)</f>
        <v>137</v>
      </c>
    </row>
    <row r="16" spans="1:6" x14ac:dyDescent="0.3">
      <c r="A16" s="4" t="s">
        <v>17</v>
      </c>
      <c r="B16" s="3">
        <f>SUM(C5:C11)</f>
        <v>26</v>
      </c>
    </row>
    <row r="17" spans="1:2" x14ac:dyDescent="0.3">
      <c r="A17" s="4" t="s">
        <v>18</v>
      </c>
      <c r="B17" s="3">
        <f>SUM(D5:D11)</f>
        <v>111</v>
      </c>
    </row>
    <row r="18" spans="1:2" x14ac:dyDescent="0.3">
      <c r="A18" s="4" t="s">
        <v>19</v>
      </c>
      <c r="B18" s="3">
        <f>SUM(E5:E11)</f>
        <v>137</v>
      </c>
    </row>
    <row r="19" spans="1:2" x14ac:dyDescent="0.3">
      <c r="A19" s="4" t="s">
        <v>20</v>
      </c>
      <c r="B19" s="3">
        <f>COUNTIF(Bug_Report!L:L,"Open")</f>
        <v>2</v>
      </c>
    </row>
    <row r="20" spans="1:2" x14ac:dyDescent="0.3">
      <c r="A20" s="4" t="s">
        <v>21</v>
      </c>
      <c r="B20" s="3">
        <f>COUNTIF(Bug_Report!L:L,"Closed")</f>
        <v>0</v>
      </c>
    </row>
    <row r="21" spans="1:2" x14ac:dyDescent="0.3">
      <c r="A21" s="4" t="s">
        <v>22</v>
      </c>
      <c r="B21" s="3">
        <f>COUNTIF(Traceability!J:J,"Planned")</f>
        <v>137</v>
      </c>
    </row>
    <row r="22" spans="1:2" x14ac:dyDescent="0.3">
      <c r="A22" s="4" t="s">
        <v>23</v>
      </c>
      <c r="B22" s="3">
        <f>COUNTIF(Traceability!J:J,"Automated")</f>
        <v>0</v>
      </c>
    </row>
    <row r="24" spans="1:2" x14ac:dyDescent="0.3">
      <c r="A24" s="1" t="s">
        <v>24</v>
      </c>
    </row>
    <row r="25" spans="1:2" ht="43.2" x14ac:dyDescent="0.3">
      <c r="A25" s="3" t="s">
        <v>25</v>
      </c>
    </row>
    <row r="26" spans="1:2" ht="28.8" x14ac:dyDescent="0.3">
      <c r="A26" s="3" t="s">
        <v>26</v>
      </c>
    </row>
    <row r="27" spans="1:2" ht="43.2" x14ac:dyDescent="0.3">
      <c r="A27" s="3" t="s">
        <v>27</v>
      </c>
    </row>
    <row r="28" spans="1:2" ht="28.8" x14ac:dyDescent="0.3">
      <c r="A28" s="3" t="s">
        <v>28</v>
      </c>
    </row>
    <row r="29" spans="1:2" ht="28.8" x14ac:dyDescent="0.3">
      <c r="A29" s="3" t="s">
        <v>29</v>
      </c>
    </row>
    <row r="30" spans="1:2" ht="28.8" x14ac:dyDescent="0.3">
      <c r="A30" s="3" t="s">
        <v>30</v>
      </c>
    </row>
  </sheetData>
  <mergeCells count="1">
    <mergeCell ref="A1:F1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9"/>
  <sheetViews>
    <sheetView showGridLines="0" topLeftCell="G1" workbookViewId="0">
      <pane ySplit="1" topLeftCell="A17" activePane="bottomLeft" state="frozen"/>
      <selection pane="bottomLeft"/>
    </sheetView>
  </sheetViews>
  <sheetFormatPr defaultRowHeight="14.4" x14ac:dyDescent="0.3"/>
  <cols>
    <col min="1" max="1" width="16" customWidth="1"/>
    <col min="2" max="2" width="14" customWidth="1"/>
    <col min="3" max="3" width="16" customWidth="1"/>
    <col min="4" max="4" width="34" customWidth="1"/>
    <col min="5" max="5" width="11" customWidth="1"/>
    <col min="6" max="7" width="14" customWidth="1"/>
    <col min="8" max="8" width="24" customWidth="1"/>
    <col min="9" max="9" width="55" customWidth="1"/>
    <col min="10" max="10" width="42" customWidth="1"/>
    <col min="11" max="12" width="18" customWidth="1"/>
    <col min="13" max="13" width="24" customWidth="1"/>
    <col min="14" max="14" width="12" customWidth="1"/>
  </cols>
  <sheetData>
    <row r="1" spans="1:14" ht="28.8" x14ac:dyDescent="0.3">
      <c r="A1" s="2" t="s">
        <v>31</v>
      </c>
      <c r="B1" s="2" t="s">
        <v>32</v>
      </c>
      <c r="C1" s="2" t="s">
        <v>33</v>
      </c>
      <c r="D1" s="2" t="s">
        <v>34</v>
      </c>
      <c r="E1" s="2" t="s">
        <v>35</v>
      </c>
      <c r="F1" s="2" t="s">
        <v>36</v>
      </c>
      <c r="G1" s="2" t="s">
        <v>37</v>
      </c>
      <c r="H1" s="2" t="s">
        <v>38</v>
      </c>
      <c r="I1" s="2" t="s">
        <v>39</v>
      </c>
      <c r="J1" s="2" t="s">
        <v>40</v>
      </c>
      <c r="K1" s="2" t="s">
        <v>41</v>
      </c>
      <c r="L1" s="2" t="s">
        <v>42</v>
      </c>
      <c r="M1" s="2" t="s">
        <v>43</v>
      </c>
      <c r="N1" s="2" t="s">
        <v>44</v>
      </c>
    </row>
    <row r="2" spans="1:14" ht="28.8" x14ac:dyDescent="0.3">
      <c r="A2" s="3" t="s">
        <v>45</v>
      </c>
      <c r="B2" s="3" t="s">
        <v>7</v>
      </c>
      <c r="C2" s="3" t="s">
        <v>46</v>
      </c>
      <c r="D2" s="3" t="s">
        <v>47</v>
      </c>
      <c r="E2" s="5" t="s">
        <v>48</v>
      </c>
      <c r="F2" s="5" t="s">
        <v>49</v>
      </c>
      <c r="G2" s="5" t="s">
        <v>3</v>
      </c>
      <c r="H2" s="3" t="s">
        <v>50</v>
      </c>
      <c r="I2" s="3" t="s">
        <v>51</v>
      </c>
      <c r="J2" s="3" t="s">
        <v>52</v>
      </c>
      <c r="K2" s="5" t="s">
        <v>53</v>
      </c>
      <c r="L2" s="3" t="s">
        <v>54</v>
      </c>
      <c r="M2" s="3" t="s">
        <v>55</v>
      </c>
      <c r="N2" s="5" t="s">
        <v>56</v>
      </c>
    </row>
    <row r="3" spans="1:14" ht="28.8" x14ac:dyDescent="0.3">
      <c r="A3" s="3" t="s">
        <v>57</v>
      </c>
      <c r="B3" s="3" t="s">
        <v>7</v>
      </c>
      <c r="C3" s="3" t="s">
        <v>58</v>
      </c>
      <c r="D3" s="3" t="s">
        <v>59</v>
      </c>
      <c r="E3" s="5" t="s">
        <v>48</v>
      </c>
      <c r="F3" s="5" t="s">
        <v>60</v>
      </c>
      <c r="G3" s="5" t="s">
        <v>3</v>
      </c>
      <c r="H3" s="3" t="s">
        <v>61</v>
      </c>
      <c r="I3" s="3" t="s">
        <v>62</v>
      </c>
      <c r="J3" s="3" t="s">
        <v>63</v>
      </c>
      <c r="K3" s="5" t="s">
        <v>53</v>
      </c>
      <c r="L3" s="3" t="s">
        <v>64</v>
      </c>
      <c r="M3" s="3" t="s">
        <v>55</v>
      </c>
      <c r="N3" s="5" t="s">
        <v>56</v>
      </c>
    </row>
    <row r="4" spans="1:14" ht="28.8" x14ac:dyDescent="0.3">
      <c r="A4" s="3" t="s">
        <v>65</v>
      </c>
      <c r="B4" s="3" t="s">
        <v>7</v>
      </c>
      <c r="C4" s="3" t="s">
        <v>58</v>
      </c>
      <c r="D4" s="3" t="s">
        <v>66</v>
      </c>
      <c r="E4" s="5" t="s">
        <v>67</v>
      </c>
      <c r="F4" s="5" t="s">
        <v>60</v>
      </c>
      <c r="G4" s="5" t="s">
        <v>4</v>
      </c>
      <c r="H4" s="3" t="s">
        <v>61</v>
      </c>
      <c r="I4" s="3" t="s">
        <v>68</v>
      </c>
      <c r="J4" s="3" t="s">
        <v>69</v>
      </c>
      <c r="K4" s="5" t="s">
        <v>53</v>
      </c>
      <c r="L4" s="3" t="s">
        <v>70</v>
      </c>
      <c r="M4" s="3" t="s">
        <v>55</v>
      </c>
      <c r="N4" s="5" t="s">
        <v>56</v>
      </c>
    </row>
    <row r="5" spans="1:14" ht="28.8" x14ac:dyDescent="0.3">
      <c r="A5" s="3" t="s">
        <v>71</v>
      </c>
      <c r="B5" s="3" t="s">
        <v>7</v>
      </c>
      <c r="C5" s="3" t="s">
        <v>58</v>
      </c>
      <c r="D5" s="3" t="s">
        <v>72</v>
      </c>
      <c r="E5" s="5" t="s">
        <v>67</v>
      </c>
      <c r="F5" s="5" t="s">
        <v>60</v>
      </c>
      <c r="G5" s="5" t="s">
        <v>4</v>
      </c>
      <c r="H5" s="3" t="s">
        <v>61</v>
      </c>
      <c r="I5" s="3" t="s">
        <v>68</v>
      </c>
      <c r="J5" s="3" t="s">
        <v>73</v>
      </c>
      <c r="K5" s="5" t="s">
        <v>53</v>
      </c>
      <c r="L5" s="3" t="s">
        <v>74</v>
      </c>
      <c r="M5" s="3" t="s">
        <v>55</v>
      </c>
      <c r="N5" s="5" t="s">
        <v>56</v>
      </c>
    </row>
    <row r="6" spans="1:14" ht="28.8" x14ac:dyDescent="0.3">
      <c r="A6" s="3" t="s">
        <v>75</v>
      </c>
      <c r="B6" s="3" t="s">
        <v>7</v>
      </c>
      <c r="C6" s="3" t="s">
        <v>58</v>
      </c>
      <c r="D6" s="3" t="s">
        <v>76</v>
      </c>
      <c r="E6" s="5" t="s">
        <v>67</v>
      </c>
      <c r="F6" s="5" t="s">
        <v>60</v>
      </c>
      <c r="G6" s="5" t="s">
        <v>4</v>
      </c>
      <c r="H6" s="3" t="s">
        <v>61</v>
      </c>
      <c r="I6" s="3" t="s">
        <v>68</v>
      </c>
      <c r="J6" s="3" t="s">
        <v>77</v>
      </c>
      <c r="K6" s="5" t="s">
        <v>53</v>
      </c>
      <c r="L6" s="3" t="s">
        <v>78</v>
      </c>
      <c r="M6" s="3" t="s">
        <v>55</v>
      </c>
      <c r="N6" s="5" t="s">
        <v>56</v>
      </c>
    </row>
    <row r="7" spans="1:14" ht="28.8" x14ac:dyDescent="0.3">
      <c r="A7" s="3" t="s">
        <v>79</v>
      </c>
      <c r="B7" s="3" t="s">
        <v>7</v>
      </c>
      <c r="C7" s="3" t="s">
        <v>58</v>
      </c>
      <c r="D7" s="3" t="s">
        <v>80</v>
      </c>
      <c r="E7" s="5" t="s">
        <v>48</v>
      </c>
      <c r="F7" s="5" t="s">
        <v>60</v>
      </c>
      <c r="G7" s="5" t="s">
        <v>3</v>
      </c>
      <c r="H7" s="3" t="s">
        <v>61</v>
      </c>
      <c r="I7" s="3" t="s">
        <v>68</v>
      </c>
      <c r="J7" s="3" t="s">
        <v>81</v>
      </c>
      <c r="K7" s="5" t="s">
        <v>53</v>
      </c>
      <c r="L7" s="3" t="s">
        <v>82</v>
      </c>
      <c r="M7" s="3" t="s">
        <v>55</v>
      </c>
      <c r="N7" s="5" t="s">
        <v>56</v>
      </c>
    </row>
    <row r="8" spans="1:14" ht="28.8" x14ac:dyDescent="0.3">
      <c r="A8" s="3" t="s">
        <v>83</v>
      </c>
      <c r="B8" s="3" t="s">
        <v>7</v>
      </c>
      <c r="C8" s="3" t="s">
        <v>58</v>
      </c>
      <c r="D8" s="3" t="s">
        <v>84</v>
      </c>
      <c r="E8" s="5" t="s">
        <v>67</v>
      </c>
      <c r="F8" s="5" t="s">
        <v>60</v>
      </c>
      <c r="G8" s="5" t="s">
        <v>4</v>
      </c>
      <c r="H8" s="3" t="s">
        <v>61</v>
      </c>
      <c r="I8" s="3" t="s">
        <v>68</v>
      </c>
      <c r="J8" s="3" t="s">
        <v>85</v>
      </c>
      <c r="K8" s="5" t="s">
        <v>53</v>
      </c>
      <c r="L8" s="3" t="s">
        <v>86</v>
      </c>
      <c r="M8" s="3" t="s">
        <v>55</v>
      </c>
      <c r="N8" s="5" t="s">
        <v>56</v>
      </c>
    </row>
    <row r="9" spans="1:14" ht="28.8" x14ac:dyDescent="0.3">
      <c r="A9" s="3" t="s">
        <v>87</v>
      </c>
      <c r="B9" s="3" t="s">
        <v>7</v>
      </c>
      <c r="C9" s="3" t="s">
        <v>88</v>
      </c>
      <c r="D9" s="3" t="s">
        <v>89</v>
      </c>
      <c r="E9" s="5" t="s">
        <v>48</v>
      </c>
      <c r="F9" s="5" t="s">
        <v>88</v>
      </c>
      <c r="G9" s="5" t="s">
        <v>3</v>
      </c>
      <c r="H9" s="3" t="s">
        <v>61</v>
      </c>
      <c r="I9" s="3" t="s">
        <v>90</v>
      </c>
      <c r="J9" s="3" t="s">
        <v>91</v>
      </c>
      <c r="K9" s="5" t="s">
        <v>53</v>
      </c>
      <c r="L9" s="3" t="s">
        <v>92</v>
      </c>
      <c r="M9" s="3" t="s">
        <v>55</v>
      </c>
      <c r="N9" s="5" t="s">
        <v>56</v>
      </c>
    </row>
    <row r="10" spans="1:14" ht="28.8" x14ac:dyDescent="0.3">
      <c r="A10" s="3" t="s">
        <v>93</v>
      </c>
      <c r="B10" s="3" t="s">
        <v>7</v>
      </c>
      <c r="C10" s="3" t="s">
        <v>88</v>
      </c>
      <c r="D10" s="3" t="s">
        <v>94</v>
      </c>
      <c r="E10" s="5" t="s">
        <v>48</v>
      </c>
      <c r="F10" s="5" t="s">
        <v>88</v>
      </c>
      <c r="G10" s="5" t="s">
        <v>3</v>
      </c>
      <c r="H10" s="3" t="s">
        <v>61</v>
      </c>
      <c r="I10" s="3" t="s">
        <v>95</v>
      </c>
      <c r="J10" s="3" t="s">
        <v>96</v>
      </c>
      <c r="K10" s="5" t="s">
        <v>53</v>
      </c>
      <c r="L10" s="3" t="s">
        <v>97</v>
      </c>
      <c r="M10" s="3" t="s">
        <v>55</v>
      </c>
      <c r="N10" s="5" t="s">
        <v>56</v>
      </c>
    </row>
    <row r="11" spans="1:14" ht="28.8" x14ac:dyDescent="0.3">
      <c r="A11" s="3" t="s">
        <v>98</v>
      </c>
      <c r="B11" s="3" t="s">
        <v>7</v>
      </c>
      <c r="C11" s="3" t="s">
        <v>88</v>
      </c>
      <c r="D11" s="3" t="s">
        <v>99</v>
      </c>
      <c r="E11" s="5" t="s">
        <v>48</v>
      </c>
      <c r="F11" s="5" t="s">
        <v>88</v>
      </c>
      <c r="G11" s="5" t="s">
        <v>3</v>
      </c>
      <c r="H11" s="3" t="s">
        <v>61</v>
      </c>
      <c r="I11" s="3" t="s">
        <v>100</v>
      </c>
      <c r="J11" s="3" t="s">
        <v>101</v>
      </c>
      <c r="K11" s="5" t="s">
        <v>53</v>
      </c>
      <c r="L11" s="3" t="s">
        <v>102</v>
      </c>
      <c r="M11" s="3" t="s">
        <v>55</v>
      </c>
      <c r="N11" s="5" t="s">
        <v>56</v>
      </c>
    </row>
    <row r="12" spans="1:14" ht="28.8" x14ac:dyDescent="0.3">
      <c r="A12" s="3" t="s">
        <v>103</v>
      </c>
      <c r="B12" s="3" t="s">
        <v>7</v>
      </c>
      <c r="C12" s="3" t="s">
        <v>88</v>
      </c>
      <c r="D12" s="3" t="s">
        <v>104</v>
      </c>
      <c r="E12" s="5" t="s">
        <v>67</v>
      </c>
      <c r="F12" s="5" t="s">
        <v>88</v>
      </c>
      <c r="G12" s="5" t="s">
        <v>4</v>
      </c>
      <c r="H12" s="3" t="s">
        <v>61</v>
      </c>
      <c r="I12" s="3" t="s">
        <v>105</v>
      </c>
      <c r="J12" s="3" t="s">
        <v>106</v>
      </c>
      <c r="K12" s="5" t="s">
        <v>53</v>
      </c>
      <c r="L12" s="3" t="s">
        <v>107</v>
      </c>
      <c r="M12" s="3" t="s">
        <v>55</v>
      </c>
      <c r="N12" s="5" t="s">
        <v>56</v>
      </c>
    </row>
    <row r="13" spans="1:14" ht="28.8" x14ac:dyDescent="0.3">
      <c r="A13" s="3" t="s">
        <v>108</v>
      </c>
      <c r="B13" s="3" t="s">
        <v>7</v>
      </c>
      <c r="C13" s="3" t="s">
        <v>46</v>
      </c>
      <c r="D13" s="3" t="s">
        <v>109</v>
      </c>
      <c r="E13" s="5" t="s">
        <v>110</v>
      </c>
      <c r="F13" s="5" t="s">
        <v>111</v>
      </c>
      <c r="G13" s="5" t="s">
        <v>4</v>
      </c>
      <c r="H13" s="3" t="s">
        <v>61</v>
      </c>
      <c r="I13" s="3" t="s">
        <v>112</v>
      </c>
      <c r="J13" s="3" t="s">
        <v>113</v>
      </c>
      <c r="K13" s="5" t="s">
        <v>53</v>
      </c>
      <c r="L13" s="3" t="s">
        <v>114</v>
      </c>
      <c r="M13" s="3" t="s">
        <v>55</v>
      </c>
      <c r="N13" s="5" t="s">
        <v>56</v>
      </c>
    </row>
    <row r="14" spans="1:14" ht="28.8" x14ac:dyDescent="0.3">
      <c r="A14" s="3" t="s">
        <v>115</v>
      </c>
      <c r="B14" s="3" t="s">
        <v>7</v>
      </c>
      <c r="C14" s="3" t="s">
        <v>116</v>
      </c>
      <c r="D14" s="3" t="s">
        <v>117</v>
      </c>
      <c r="E14" s="5" t="s">
        <v>110</v>
      </c>
      <c r="F14" s="5" t="s">
        <v>60</v>
      </c>
      <c r="G14" s="5" t="s">
        <v>4</v>
      </c>
      <c r="H14" s="3" t="s">
        <v>61</v>
      </c>
      <c r="I14" s="3" t="s">
        <v>118</v>
      </c>
      <c r="J14" s="3" t="s">
        <v>119</v>
      </c>
      <c r="K14" s="5" t="s">
        <v>53</v>
      </c>
      <c r="L14" s="3" t="s">
        <v>120</v>
      </c>
      <c r="M14" s="3" t="s">
        <v>55</v>
      </c>
      <c r="N14" s="5" t="s">
        <v>56</v>
      </c>
    </row>
    <row r="15" spans="1:14" ht="28.8" x14ac:dyDescent="0.3">
      <c r="A15" s="3" t="s">
        <v>121</v>
      </c>
      <c r="B15" s="3" t="s">
        <v>7</v>
      </c>
      <c r="C15" s="3" t="s">
        <v>122</v>
      </c>
      <c r="D15" s="3" t="s">
        <v>123</v>
      </c>
      <c r="E15" s="5" t="s">
        <v>110</v>
      </c>
      <c r="F15" s="5" t="s">
        <v>60</v>
      </c>
      <c r="G15" s="5" t="s">
        <v>4</v>
      </c>
      <c r="H15" s="3" t="s">
        <v>61</v>
      </c>
      <c r="I15" s="3" t="s">
        <v>124</v>
      </c>
      <c r="J15" s="3" t="s">
        <v>125</v>
      </c>
      <c r="K15" s="5" t="s">
        <v>53</v>
      </c>
      <c r="L15" s="3" t="s">
        <v>126</v>
      </c>
      <c r="M15" s="3" t="s">
        <v>55</v>
      </c>
      <c r="N15" s="5" t="s">
        <v>56</v>
      </c>
    </row>
    <row r="16" spans="1:14" ht="28.8" x14ac:dyDescent="0.3">
      <c r="A16" s="3" t="s">
        <v>127</v>
      </c>
      <c r="B16" s="3" t="s">
        <v>7</v>
      </c>
      <c r="C16" s="3" t="s">
        <v>128</v>
      </c>
      <c r="D16" s="3" t="s">
        <v>129</v>
      </c>
      <c r="E16" s="5" t="s">
        <v>67</v>
      </c>
      <c r="F16" s="5" t="s">
        <v>128</v>
      </c>
      <c r="G16" s="5" t="s">
        <v>4</v>
      </c>
      <c r="H16" s="3" t="s">
        <v>130</v>
      </c>
      <c r="I16" s="3" t="s">
        <v>131</v>
      </c>
      <c r="J16" s="3" t="s">
        <v>132</v>
      </c>
      <c r="K16" s="5" t="s">
        <v>53</v>
      </c>
      <c r="L16" s="3" t="s">
        <v>133</v>
      </c>
      <c r="M16" s="3" t="s">
        <v>55</v>
      </c>
      <c r="N16" s="5" t="s">
        <v>56</v>
      </c>
    </row>
    <row r="17" spans="1:14" ht="28.8" x14ac:dyDescent="0.3">
      <c r="A17" s="3" t="s">
        <v>134</v>
      </c>
      <c r="B17" s="3" t="s">
        <v>7</v>
      </c>
      <c r="C17" s="3" t="s">
        <v>135</v>
      </c>
      <c r="D17" s="3" t="s">
        <v>136</v>
      </c>
      <c r="E17" s="5" t="s">
        <v>110</v>
      </c>
      <c r="F17" s="5" t="s">
        <v>60</v>
      </c>
      <c r="G17" s="5" t="s">
        <v>4</v>
      </c>
      <c r="H17" s="3" t="s">
        <v>61</v>
      </c>
      <c r="I17" s="3" t="s">
        <v>137</v>
      </c>
      <c r="J17" s="3" t="s">
        <v>138</v>
      </c>
      <c r="K17" s="5" t="s">
        <v>53</v>
      </c>
      <c r="L17" s="3" t="s">
        <v>139</v>
      </c>
      <c r="M17" s="3" t="s">
        <v>55</v>
      </c>
      <c r="N17" s="5" t="s">
        <v>56</v>
      </c>
    </row>
    <row r="18" spans="1:14" ht="28.8" x14ac:dyDescent="0.3">
      <c r="A18" s="3" t="s">
        <v>140</v>
      </c>
      <c r="B18" s="3" t="s">
        <v>7</v>
      </c>
      <c r="C18" s="3" t="s">
        <v>141</v>
      </c>
      <c r="D18" s="3" t="s">
        <v>142</v>
      </c>
      <c r="E18" s="5" t="s">
        <v>67</v>
      </c>
      <c r="F18" s="5" t="s">
        <v>88</v>
      </c>
      <c r="G18" s="5" t="s">
        <v>4</v>
      </c>
      <c r="H18" s="3" t="s">
        <v>61</v>
      </c>
      <c r="I18" s="3" t="s">
        <v>143</v>
      </c>
      <c r="J18" s="3" t="s">
        <v>144</v>
      </c>
      <c r="K18" s="5" t="s">
        <v>53</v>
      </c>
      <c r="L18" s="3" t="s">
        <v>145</v>
      </c>
      <c r="M18" s="3" t="s">
        <v>55</v>
      </c>
      <c r="N18" s="5" t="s">
        <v>56</v>
      </c>
    </row>
    <row r="19" spans="1:14" ht="28.8" x14ac:dyDescent="0.3">
      <c r="A19" s="3" t="s">
        <v>146</v>
      </c>
      <c r="B19" s="3" t="s">
        <v>7</v>
      </c>
      <c r="C19" s="3" t="s">
        <v>147</v>
      </c>
      <c r="D19" s="3" t="s">
        <v>148</v>
      </c>
      <c r="E19" s="5" t="s">
        <v>67</v>
      </c>
      <c r="F19" s="5" t="s">
        <v>149</v>
      </c>
      <c r="G19" s="5" t="s">
        <v>4</v>
      </c>
      <c r="H19" s="3" t="s">
        <v>150</v>
      </c>
      <c r="I19" s="3" t="s">
        <v>151</v>
      </c>
      <c r="J19" s="3" t="s">
        <v>152</v>
      </c>
      <c r="K19" s="5" t="s">
        <v>53</v>
      </c>
      <c r="L19" s="3" t="s">
        <v>153</v>
      </c>
      <c r="M19" s="3" t="s">
        <v>55</v>
      </c>
      <c r="N19" s="5" t="s">
        <v>56</v>
      </c>
    </row>
  </sheetData>
  <conditionalFormatting sqref="E2:E19">
    <cfRule type="cellIs" dxfId="68" priority="1" operator="equal">
      <formula>"High"</formula>
    </cfRule>
    <cfRule type="cellIs" dxfId="67" priority="2" operator="equal">
      <formula>"Medium"</formula>
    </cfRule>
    <cfRule type="cellIs" dxfId="66" priority="3" operator="equal">
      <formula>"Low"</formula>
    </cfRule>
  </conditionalFormatting>
  <conditionalFormatting sqref="G2:G19">
    <cfRule type="cellIs" dxfId="65" priority="4" operator="equal">
      <formula>"Smoke"</formula>
    </cfRule>
    <cfRule type="cellIs" dxfId="64" priority="5" operator="equal">
      <formula>"Regression"</formula>
    </cfRule>
  </conditionalFormatting>
  <conditionalFormatting sqref="N2:N19">
    <cfRule type="cellIs" dxfId="63" priority="6" operator="equal">
      <formula>"Pass"</formula>
    </cfRule>
    <cfRule type="cellIs" dxfId="62" priority="7" operator="equal">
      <formula>"Fail"</formula>
    </cfRule>
    <cfRule type="cellIs" dxfId="61" priority="8" operator="equal">
      <formula>"Blocked"</formula>
    </cfRule>
    <cfRule type="cellIs" dxfId="60" priority="9" operator="equal">
      <formula>"Not Run"</formula>
    </cfRule>
  </conditionalFormatting>
  <dataValidations count="4">
    <dataValidation type="list" allowBlank="1" sqref="N2:N19" xr:uid="{00000000-0002-0000-0100-000000000000}">
      <formula1>"Pass,Fail,Blocked,Not Run"</formula1>
    </dataValidation>
    <dataValidation type="list" sqref="G2:G19" xr:uid="{00000000-0002-0000-0100-000001000000}">
      <formula1>"Smoke,Regression"</formula1>
    </dataValidation>
    <dataValidation type="list" sqref="E2:E19" xr:uid="{00000000-0002-0000-0100-000002000000}">
      <formula1>"High,Medium,Low"</formula1>
    </dataValidation>
    <dataValidation type="list" sqref="K2:K19" xr:uid="{00000000-0002-0000-0100-000003000000}">
      <formula1>"Yes,No"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41"/>
  <sheetViews>
    <sheetView showGridLines="0" topLeftCell="F1" workbookViewId="0">
      <pane ySplit="1" topLeftCell="A32" activePane="bottomLeft" state="frozen"/>
      <selection pane="bottomLeft"/>
    </sheetView>
  </sheetViews>
  <sheetFormatPr defaultRowHeight="14.4" x14ac:dyDescent="0.3"/>
  <cols>
    <col min="1" max="1" width="16" customWidth="1"/>
    <col min="2" max="2" width="14" customWidth="1"/>
    <col min="3" max="3" width="16" customWidth="1"/>
    <col min="4" max="4" width="34" customWidth="1"/>
    <col min="5" max="5" width="11" customWidth="1"/>
    <col min="6" max="7" width="14" customWidth="1"/>
    <col min="8" max="8" width="24" customWidth="1"/>
    <col min="9" max="9" width="55" customWidth="1"/>
    <col min="10" max="10" width="42" customWidth="1"/>
    <col min="11" max="12" width="18" customWidth="1"/>
    <col min="13" max="13" width="24" customWidth="1"/>
    <col min="14" max="14" width="12" customWidth="1"/>
  </cols>
  <sheetData>
    <row r="1" spans="1:14" ht="28.8" x14ac:dyDescent="0.3">
      <c r="A1" s="2" t="s">
        <v>31</v>
      </c>
      <c r="B1" s="2" t="s">
        <v>32</v>
      </c>
      <c r="C1" s="2" t="s">
        <v>33</v>
      </c>
      <c r="D1" s="2" t="s">
        <v>34</v>
      </c>
      <c r="E1" s="2" t="s">
        <v>35</v>
      </c>
      <c r="F1" s="2" t="s">
        <v>36</v>
      </c>
      <c r="G1" s="2" t="s">
        <v>37</v>
      </c>
      <c r="H1" s="2" t="s">
        <v>38</v>
      </c>
      <c r="I1" s="2" t="s">
        <v>39</v>
      </c>
      <c r="J1" s="2" t="s">
        <v>40</v>
      </c>
      <c r="K1" s="2" t="s">
        <v>41</v>
      </c>
      <c r="L1" s="2" t="s">
        <v>42</v>
      </c>
      <c r="M1" s="2" t="s">
        <v>43</v>
      </c>
      <c r="N1" s="2" t="s">
        <v>44</v>
      </c>
    </row>
    <row r="2" spans="1:14" ht="28.8" x14ac:dyDescent="0.3">
      <c r="A2" s="3" t="s">
        <v>154</v>
      </c>
      <c r="B2" s="3" t="s">
        <v>155</v>
      </c>
      <c r="C2" s="3" t="s">
        <v>88</v>
      </c>
      <c r="D2" s="3" t="s">
        <v>156</v>
      </c>
      <c r="E2" s="5" t="s">
        <v>48</v>
      </c>
      <c r="F2" s="5" t="s">
        <v>49</v>
      </c>
      <c r="G2" s="5" t="s">
        <v>3</v>
      </c>
      <c r="H2" s="3" t="s">
        <v>61</v>
      </c>
      <c r="I2" s="3" t="s">
        <v>100</v>
      </c>
      <c r="J2" s="3" t="s">
        <v>157</v>
      </c>
      <c r="K2" s="5" t="s">
        <v>53</v>
      </c>
      <c r="L2" s="3" t="s">
        <v>158</v>
      </c>
      <c r="M2" s="3" t="s">
        <v>55</v>
      </c>
      <c r="N2" s="5" t="s">
        <v>56</v>
      </c>
    </row>
    <row r="3" spans="1:14" ht="28.8" x14ac:dyDescent="0.3">
      <c r="A3" s="3" t="s">
        <v>159</v>
      </c>
      <c r="B3" s="3" t="s">
        <v>155</v>
      </c>
      <c r="C3" s="3" t="s">
        <v>160</v>
      </c>
      <c r="D3" s="3" t="s">
        <v>161</v>
      </c>
      <c r="E3" s="5" t="s">
        <v>48</v>
      </c>
      <c r="F3" s="5" t="s">
        <v>60</v>
      </c>
      <c r="G3" s="5" t="s">
        <v>4</v>
      </c>
      <c r="H3" s="3" t="s">
        <v>162</v>
      </c>
      <c r="I3" s="3" t="s">
        <v>163</v>
      </c>
      <c r="J3" s="3" t="s">
        <v>164</v>
      </c>
      <c r="K3" s="5" t="s">
        <v>53</v>
      </c>
      <c r="L3" s="3" t="s">
        <v>165</v>
      </c>
      <c r="M3" s="3" t="s">
        <v>55</v>
      </c>
      <c r="N3" s="5" t="s">
        <v>56</v>
      </c>
    </row>
    <row r="4" spans="1:14" ht="28.8" x14ac:dyDescent="0.3">
      <c r="A4" s="3" t="s">
        <v>166</v>
      </c>
      <c r="B4" s="3" t="s">
        <v>155</v>
      </c>
      <c r="C4" s="3" t="s">
        <v>160</v>
      </c>
      <c r="D4" s="3" t="s">
        <v>167</v>
      </c>
      <c r="E4" s="5" t="s">
        <v>48</v>
      </c>
      <c r="F4" s="5" t="s">
        <v>60</v>
      </c>
      <c r="G4" s="5" t="s">
        <v>4</v>
      </c>
      <c r="H4" s="3" t="s">
        <v>162</v>
      </c>
      <c r="I4" s="3" t="s">
        <v>163</v>
      </c>
      <c r="J4" s="3" t="s">
        <v>168</v>
      </c>
      <c r="K4" s="5" t="s">
        <v>53</v>
      </c>
      <c r="L4" s="3" t="s">
        <v>169</v>
      </c>
      <c r="M4" s="3" t="s">
        <v>55</v>
      </c>
      <c r="N4" s="5" t="s">
        <v>56</v>
      </c>
    </row>
    <row r="5" spans="1:14" ht="28.8" x14ac:dyDescent="0.3">
      <c r="A5" s="3" t="s">
        <v>170</v>
      </c>
      <c r="B5" s="3" t="s">
        <v>155</v>
      </c>
      <c r="C5" s="3" t="s">
        <v>160</v>
      </c>
      <c r="D5" s="3" t="s">
        <v>171</v>
      </c>
      <c r="E5" s="5" t="s">
        <v>48</v>
      </c>
      <c r="F5" s="5" t="s">
        <v>60</v>
      </c>
      <c r="G5" s="5" t="s">
        <v>4</v>
      </c>
      <c r="H5" s="3" t="s">
        <v>162</v>
      </c>
      <c r="I5" s="3" t="s">
        <v>163</v>
      </c>
      <c r="J5" s="3" t="s">
        <v>172</v>
      </c>
      <c r="K5" s="5" t="s">
        <v>53</v>
      </c>
      <c r="L5" s="3" t="s">
        <v>173</v>
      </c>
      <c r="M5" s="3" t="s">
        <v>55</v>
      </c>
      <c r="N5" s="5" t="s">
        <v>56</v>
      </c>
    </row>
    <row r="6" spans="1:14" ht="28.8" x14ac:dyDescent="0.3">
      <c r="A6" s="3" t="s">
        <v>174</v>
      </c>
      <c r="B6" s="3" t="s">
        <v>155</v>
      </c>
      <c r="C6" s="3" t="s">
        <v>175</v>
      </c>
      <c r="D6" s="3" t="s">
        <v>176</v>
      </c>
      <c r="E6" s="5" t="s">
        <v>48</v>
      </c>
      <c r="F6" s="5" t="s">
        <v>60</v>
      </c>
      <c r="G6" s="5" t="s">
        <v>4</v>
      </c>
      <c r="H6" s="3" t="s">
        <v>162</v>
      </c>
      <c r="I6" s="3" t="s">
        <v>177</v>
      </c>
      <c r="J6" s="3" t="s">
        <v>178</v>
      </c>
      <c r="K6" s="5" t="s">
        <v>53</v>
      </c>
      <c r="L6" s="3" t="s">
        <v>179</v>
      </c>
      <c r="M6" s="3" t="s">
        <v>55</v>
      </c>
      <c r="N6" s="5" t="s">
        <v>56</v>
      </c>
    </row>
    <row r="7" spans="1:14" ht="28.8" x14ac:dyDescent="0.3">
      <c r="A7" s="3" t="s">
        <v>180</v>
      </c>
      <c r="B7" s="3" t="s">
        <v>155</v>
      </c>
      <c r="C7" s="3" t="s">
        <v>175</v>
      </c>
      <c r="D7" s="3" t="s">
        <v>181</v>
      </c>
      <c r="E7" s="5" t="s">
        <v>48</v>
      </c>
      <c r="F7" s="5" t="s">
        <v>60</v>
      </c>
      <c r="G7" s="5" t="s">
        <v>4</v>
      </c>
      <c r="H7" s="3" t="s">
        <v>162</v>
      </c>
      <c r="I7" s="3" t="s">
        <v>177</v>
      </c>
      <c r="J7" s="3" t="s">
        <v>164</v>
      </c>
      <c r="K7" s="5" t="s">
        <v>53</v>
      </c>
      <c r="L7" s="3" t="s">
        <v>182</v>
      </c>
      <c r="M7" s="3" t="s">
        <v>55</v>
      </c>
      <c r="N7" s="5" t="s">
        <v>56</v>
      </c>
    </row>
    <row r="8" spans="1:14" ht="28.8" x14ac:dyDescent="0.3">
      <c r="A8" s="3" t="s">
        <v>183</v>
      </c>
      <c r="B8" s="3" t="s">
        <v>155</v>
      </c>
      <c r="C8" s="3" t="s">
        <v>175</v>
      </c>
      <c r="D8" s="3" t="s">
        <v>184</v>
      </c>
      <c r="E8" s="5" t="s">
        <v>48</v>
      </c>
      <c r="F8" s="5" t="s">
        <v>60</v>
      </c>
      <c r="G8" s="5" t="s">
        <v>4</v>
      </c>
      <c r="H8" s="3" t="s">
        <v>162</v>
      </c>
      <c r="I8" s="3" t="s">
        <v>177</v>
      </c>
      <c r="J8" s="3" t="s">
        <v>185</v>
      </c>
      <c r="K8" s="5" t="s">
        <v>53</v>
      </c>
      <c r="L8" s="3" t="s">
        <v>186</v>
      </c>
      <c r="M8" s="3" t="s">
        <v>55</v>
      </c>
      <c r="N8" s="5" t="s">
        <v>56</v>
      </c>
    </row>
    <row r="9" spans="1:14" ht="28.8" x14ac:dyDescent="0.3">
      <c r="A9" s="3" t="s">
        <v>187</v>
      </c>
      <c r="B9" s="3" t="s">
        <v>155</v>
      </c>
      <c r="C9" s="3" t="s">
        <v>188</v>
      </c>
      <c r="D9" s="3" t="s">
        <v>189</v>
      </c>
      <c r="E9" s="5" t="s">
        <v>48</v>
      </c>
      <c r="F9" s="5" t="s">
        <v>190</v>
      </c>
      <c r="G9" s="5" t="s">
        <v>4</v>
      </c>
      <c r="H9" s="3" t="s">
        <v>162</v>
      </c>
      <c r="I9" s="3" t="s">
        <v>191</v>
      </c>
      <c r="J9" s="3" t="s">
        <v>192</v>
      </c>
      <c r="K9" s="5" t="s">
        <v>53</v>
      </c>
      <c r="L9" s="3" t="s">
        <v>193</v>
      </c>
      <c r="M9" s="3" t="s">
        <v>55</v>
      </c>
      <c r="N9" s="5" t="s">
        <v>56</v>
      </c>
    </row>
    <row r="10" spans="1:14" ht="28.8" x14ac:dyDescent="0.3">
      <c r="A10" s="3" t="s">
        <v>194</v>
      </c>
      <c r="B10" s="3" t="s">
        <v>155</v>
      </c>
      <c r="C10" s="3" t="s">
        <v>188</v>
      </c>
      <c r="D10" s="3" t="s">
        <v>195</v>
      </c>
      <c r="E10" s="5" t="s">
        <v>48</v>
      </c>
      <c r="F10" s="5" t="s">
        <v>190</v>
      </c>
      <c r="G10" s="5" t="s">
        <v>4</v>
      </c>
      <c r="H10" s="3" t="s">
        <v>162</v>
      </c>
      <c r="I10" s="3" t="s">
        <v>196</v>
      </c>
      <c r="J10" s="3" t="s">
        <v>197</v>
      </c>
      <c r="K10" s="5" t="s">
        <v>53</v>
      </c>
      <c r="L10" s="3" t="s">
        <v>198</v>
      </c>
      <c r="M10" s="3" t="s">
        <v>55</v>
      </c>
      <c r="N10" s="5" t="s">
        <v>56</v>
      </c>
    </row>
    <row r="11" spans="1:14" ht="28.8" x14ac:dyDescent="0.3">
      <c r="A11" s="3" t="s">
        <v>199</v>
      </c>
      <c r="B11" s="3" t="s">
        <v>155</v>
      </c>
      <c r="C11" s="3" t="s">
        <v>188</v>
      </c>
      <c r="D11" s="3" t="s">
        <v>200</v>
      </c>
      <c r="E11" s="5" t="s">
        <v>48</v>
      </c>
      <c r="F11" s="5" t="s">
        <v>190</v>
      </c>
      <c r="G11" s="5" t="s">
        <v>4</v>
      </c>
      <c r="H11" s="3" t="s">
        <v>162</v>
      </c>
      <c r="I11" s="3" t="s">
        <v>201</v>
      </c>
      <c r="J11" s="3" t="s">
        <v>197</v>
      </c>
      <c r="K11" s="5" t="s">
        <v>53</v>
      </c>
      <c r="L11" s="3" t="s">
        <v>202</v>
      </c>
      <c r="M11" s="3" t="s">
        <v>55</v>
      </c>
      <c r="N11" s="5" t="s">
        <v>56</v>
      </c>
    </row>
    <row r="12" spans="1:14" ht="28.8" x14ac:dyDescent="0.3">
      <c r="A12" s="3" t="s">
        <v>203</v>
      </c>
      <c r="B12" s="3" t="s">
        <v>155</v>
      </c>
      <c r="C12" s="3" t="s">
        <v>188</v>
      </c>
      <c r="D12" s="3" t="s">
        <v>204</v>
      </c>
      <c r="E12" s="5" t="s">
        <v>67</v>
      </c>
      <c r="F12" s="5" t="s">
        <v>190</v>
      </c>
      <c r="G12" s="5" t="s">
        <v>4</v>
      </c>
      <c r="H12" s="3" t="s">
        <v>162</v>
      </c>
      <c r="I12" s="3" t="s">
        <v>205</v>
      </c>
      <c r="J12" s="3" t="s">
        <v>206</v>
      </c>
      <c r="K12" s="5" t="s">
        <v>53</v>
      </c>
      <c r="L12" s="3" t="s">
        <v>207</v>
      </c>
      <c r="M12" s="3" t="s">
        <v>55</v>
      </c>
      <c r="N12" s="5" t="s">
        <v>56</v>
      </c>
    </row>
    <row r="13" spans="1:14" ht="28.8" x14ac:dyDescent="0.3">
      <c r="A13" s="3" t="s">
        <v>208</v>
      </c>
      <c r="B13" s="3" t="s">
        <v>155</v>
      </c>
      <c r="C13" s="3" t="s">
        <v>209</v>
      </c>
      <c r="D13" s="3" t="s">
        <v>210</v>
      </c>
      <c r="E13" s="5" t="s">
        <v>48</v>
      </c>
      <c r="F13" s="5" t="s">
        <v>190</v>
      </c>
      <c r="G13" s="5" t="s">
        <v>4</v>
      </c>
      <c r="H13" s="3" t="s">
        <v>162</v>
      </c>
      <c r="I13" s="3" t="s">
        <v>211</v>
      </c>
      <c r="J13" s="3" t="s">
        <v>212</v>
      </c>
      <c r="K13" s="5" t="s">
        <v>53</v>
      </c>
      <c r="L13" s="3" t="s">
        <v>213</v>
      </c>
      <c r="M13" s="3" t="s">
        <v>55</v>
      </c>
      <c r="N13" s="5" t="s">
        <v>56</v>
      </c>
    </row>
    <row r="14" spans="1:14" ht="28.8" x14ac:dyDescent="0.3">
      <c r="A14" s="3" t="s">
        <v>214</v>
      </c>
      <c r="B14" s="3" t="s">
        <v>155</v>
      </c>
      <c r="C14" s="3" t="s">
        <v>209</v>
      </c>
      <c r="D14" s="3" t="s">
        <v>215</v>
      </c>
      <c r="E14" s="5" t="s">
        <v>48</v>
      </c>
      <c r="F14" s="5" t="s">
        <v>190</v>
      </c>
      <c r="G14" s="5" t="s">
        <v>4</v>
      </c>
      <c r="H14" s="3" t="s">
        <v>216</v>
      </c>
      <c r="I14" s="3" t="s">
        <v>217</v>
      </c>
      <c r="J14" s="3" t="s">
        <v>218</v>
      </c>
      <c r="K14" s="5" t="s">
        <v>53</v>
      </c>
      <c r="L14" s="3" t="s">
        <v>219</v>
      </c>
      <c r="M14" s="3" t="s">
        <v>55</v>
      </c>
      <c r="N14" s="5" t="s">
        <v>56</v>
      </c>
    </row>
    <row r="15" spans="1:14" ht="28.8" x14ac:dyDescent="0.3">
      <c r="A15" s="3" t="s">
        <v>220</v>
      </c>
      <c r="B15" s="3" t="s">
        <v>155</v>
      </c>
      <c r="C15" s="3" t="s">
        <v>221</v>
      </c>
      <c r="D15" s="3" t="s">
        <v>222</v>
      </c>
      <c r="E15" s="5" t="s">
        <v>48</v>
      </c>
      <c r="F15" s="5" t="s">
        <v>49</v>
      </c>
      <c r="G15" s="5" t="s">
        <v>3</v>
      </c>
      <c r="H15" s="3" t="s">
        <v>216</v>
      </c>
      <c r="I15" s="3" t="s">
        <v>223</v>
      </c>
      <c r="J15" s="3" t="s">
        <v>224</v>
      </c>
      <c r="K15" s="5" t="s">
        <v>53</v>
      </c>
      <c r="L15" s="3" t="s">
        <v>225</v>
      </c>
      <c r="M15" s="3" t="s">
        <v>55</v>
      </c>
      <c r="N15" s="5" t="s">
        <v>56</v>
      </c>
    </row>
    <row r="16" spans="1:14" ht="28.8" x14ac:dyDescent="0.3">
      <c r="A16" s="3" t="s">
        <v>226</v>
      </c>
      <c r="B16" s="3" t="s">
        <v>155</v>
      </c>
      <c r="C16" s="3" t="s">
        <v>221</v>
      </c>
      <c r="D16" s="3" t="s">
        <v>227</v>
      </c>
      <c r="E16" s="5" t="s">
        <v>48</v>
      </c>
      <c r="F16" s="5" t="s">
        <v>49</v>
      </c>
      <c r="G16" s="5" t="s">
        <v>3</v>
      </c>
      <c r="H16" s="3" t="s">
        <v>228</v>
      </c>
      <c r="I16" s="3" t="s">
        <v>229</v>
      </c>
      <c r="J16" s="3" t="s">
        <v>230</v>
      </c>
      <c r="K16" s="5" t="s">
        <v>53</v>
      </c>
      <c r="L16" s="3" t="s">
        <v>231</v>
      </c>
      <c r="M16" s="3" t="s">
        <v>55</v>
      </c>
      <c r="N16" s="5" t="s">
        <v>56</v>
      </c>
    </row>
    <row r="17" spans="1:14" ht="28.8" x14ac:dyDescent="0.3">
      <c r="A17" s="3" t="s">
        <v>232</v>
      </c>
      <c r="B17" s="3" t="s">
        <v>155</v>
      </c>
      <c r="C17" s="3" t="s">
        <v>233</v>
      </c>
      <c r="D17" s="3" t="s">
        <v>234</v>
      </c>
      <c r="E17" s="5" t="s">
        <v>48</v>
      </c>
      <c r="F17" s="5" t="s">
        <v>49</v>
      </c>
      <c r="G17" s="5" t="s">
        <v>3</v>
      </c>
      <c r="H17" s="3" t="s">
        <v>228</v>
      </c>
      <c r="I17" s="3" t="s">
        <v>235</v>
      </c>
      <c r="J17" s="3" t="s">
        <v>236</v>
      </c>
      <c r="K17" s="5" t="s">
        <v>53</v>
      </c>
      <c r="L17" s="3" t="s">
        <v>237</v>
      </c>
      <c r="M17" s="3" t="s">
        <v>55</v>
      </c>
      <c r="N17" s="5" t="s">
        <v>56</v>
      </c>
    </row>
    <row r="18" spans="1:14" ht="28.8" x14ac:dyDescent="0.3">
      <c r="A18" s="3" t="s">
        <v>238</v>
      </c>
      <c r="B18" s="3" t="s">
        <v>155</v>
      </c>
      <c r="C18" s="3" t="s">
        <v>239</v>
      </c>
      <c r="D18" s="3" t="s">
        <v>240</v>
      </c>
      <c r="E18" s="5" t="s">
        <v>48</v>
      </c>
      <c r="F18" s="5" t="s">
        <v>149</v>
      </c>
      <c r="G18" s="5" t="s">
        <v>3</v>
      </c>
      <c r="H18" s="3" t="s">
        <v>241</v>
      </c>
      <c r="I18" s="3" t="s">
        <v>242</v>
      </c>
      <c r="J18" s="3" t="s">
        <v>243</v>
      </c>
      <c r="K18" s="5" t="s">
        <v>53</v>
      </c>
      <c r="L18" s="3" t="s">
        <v>244</v>
      </c>
      <c r="M18" s="3" t="s">
        <v>55</v>
      </c>
      <c r="N18" s="5" t="s">
        <v>56</v>
      </c>
    </row>
    <row r="19" spans="1:14" ht="28.8" x14ac:dyDescent="0.3">
      <c r="A19" s="3" t="s">
        <v>245</v>
      </c>
      <c r="B19" s="3" t="s">
        <v>155</v>
      </c>
      <c r="C19" s="3" t="s">
        <v>246</v>
      </c>
      <c r="D19" s="3" t="s">
        <v>247</v>
      </c>
      <c r="E19" s="5" t="s">
        <v>48</v>
      </c>
      <c r="F19" s="5" t="s">
        <v>190</v>
      </c>
      <c r="G19" s="5" t="s">
        <v>4</v>
      </c>
      <c r="H19" s="3" t="s">
        <v>162</v>
      </c>
      <c r="I19" s="3" t="s">
        <v>248</v>
      </c>
      <c r="J19" s="3" t="s">
        <v>249</v>
      </c>
      <c r="K19" s="5" t="s">
        <v>53</v>
      </c>
      <c r="L19" s="3" t="s">
        <v>250</v>
      </c>
      <c r="M19" s="3" t="s">
        <v>55</v>
      </c>
      <c r="N19" s="5" t="s">
        <v>56</v>
      </c>
    </row>
    <row r="20" spans="1:14" ht="28.8" x14ac:dyDescent="0.3">
      <c r="A20" s="3" t="s">
        <v>251</v>
      </c>
      <c r="B20" s="3" t="s">
        <v>155</v>
      </c>
      <c r="C20" s="3" t="s">
        <v>246</v>
      </c>
      <c r="D20" s="3" t="s">
        <v>252</v>
      </c>
      <c r="E20" s="5" t="s">
        <v>48</v>
      </c>
      <c r="F20" s="5" t="s">
        <v>190</v>
      </c>
      <c r="G20" s="5" t="s">
        <v>4</v>
      </c>
      <c r="H20" s="3" t="s">
        <v>162</v>
      </c>
      <c r="I20" s="3" t="s">
        <v>253</v>
      </c>
      <c r="J20" s="3" t="s">
        <v>249</v>
      </c>
      <c r="K20" s="5" t="s">
        <v>53</v>
      </c>
      <c r="L20" s="3" t="s">
        <v>254</v>
      </c>
      <c r="M20" s="3" t="s">
        <v>55</v>
      </c>
      <c r="N20" s="5" t="s">
        <v>56</v>
      </c>
    </row>
    <row r="21" spans="1:14" ht="28.8" x14ac:dyDescent="0.3">
      <c r="A21" s="3" t="s">
        <v>255</v>
      </c>
      <c r="B21" s="3" t="s">
        <v>155</v>
      </c>
      <c r="C21" s="3" t="s">
        <v>246</v>
      </c>
      <c r="D21" s="3" t="s">
        <v>256</v>
      </c>
      <c r="E21" s="5" t="s">
        <v>48</v>
      </c>
      <c r="F21" s="5" t="s">
        <v>190</v>
      </c>
      <c r="G21" s="5" t="s">
        <v>4</v>
      </c>
      <c r="H21" s="3" t="s">
        <v>162</v>
      </c>
      <c r="I21" s="3" t="s">
        <v>257</v>
      </c>
      <c r="J21" s="3" t="s">
        <v>249</v>
      </c>
      <c r="K21" s="5" t="s">
        <v>53</v>
      </c>
      <c r="L21" s="3" t="s">
        <v>258</v>
      </c>
      <c r="M21" s="3" t="s">
        <v>55</v>
      </c>
      <c r="N21" s="5" t="s">
        <v>56</v>
      </c>
    </row>
    <row r="22" spans="1:14" ht="28.8" x14ac:dyDescent="0.3">
      <c r="A22" s="3" t="s">
        <v>259</v>
      </c>
      <c r="B22" s="3" t="s">
        <v>155</v>
      </c>
      <c r="C22" s="3" t="s">
        <v>246</v>
      </c>
      <c r="D22" s="3" t="s">
        <v>260</v>
      </c>
      <c r="E22" s="5" t="s">
        <v>48</v>
      </c>
      <c r="F22" s="5" t="s">
        <v>190</v>
      </c>
      <c r="G22" s="5" t="s">
        <v>4</v>
      </c>
      <c r="H22" s="3" t="s">
        <v>162</v>
      </c>
      <c r="I22" s="3" t="s">
        <v>261</v>
      </c>
      <c r="J22" s="3" t="s">
        <v>262</v>
      </c>
      <c r="K22" s="5" t="s">
        <v>53</v>
      </c>
      <c r="L22" s="3" t="s">
        <v>263</v>
      </c>
      <c r="M22" s="3" t="s">
        <v>55</v>
      </c>
      <c r="N22" s="5" t="s">
        <v>56</v>
      </c>
    </row>
    <row r="23" spans="1:14" ht="28.8" x14ac:dyDescent="0.3">
      <c r="A23" s="3" t="s">
        <v>264</v>
      </c>
      <c r="B23" s="3" t="s">
        <v>155</v>
      </c>
      <c r="C23" s="3" t="s">
        <v>265</v>
      </c>
      <c r="D23" s="3" t="s">
        <v>266</v>
      </c>
      <c r="E23" s="5" t="s">
        <v>48</v>
      </c>
      <c r="F23" s="5" t="s">
        <v>49</v>
      </c>
      <c r="G23" s="5" t="s">
        <v>4</v>
      </c>
      <c r="H23" s="3" t="s">
        <v>162</v>
      </c>
      <c r="I23" s="3" t="s">
        <v>267</v>
      </c>
      <c r="J23" s="3" t="s">
        <v>268</v>
      </c>
      <c r="K23" s="5" t="s">
        <v>53</v>
      </c>
      <c r="L23" s="3" t="s">
        <v>269</v>
      </c>
      <c r="M23" s="3" t="s">
        <v>55</v>
      </c>
      <c r="N23" s="5" t="s">
        <v>56</v>
      </c>
    </row>
    <row r="24" spans="1:14" ht="28.8" x14ac:dyDescent="0.3">
      <c r="A24" s="3" t="s">
        <v>270</v>
      </c>
      <c r="B24" s="3" t="s">
        <v>155</v>
      </c>
      <c r="C24" s="3" t="s">
        <v>246</v>
      </c>
      <c r="D24" s="3" t="s">
        <v>271</v>
      </c>
      <c r="E24" s="5" t="s">
        <v>48</v>
      </c>
      <c r="F24" s="5" t="s">
        <v>190</v>
      </c>
      <c r="G24" s="5" t="s">
        <v>4</v>
      </c>
      <c r="H24" s="3" t="s">
        <v>272</v>
      </c>
      <c r="I24" s="3" t="s">
        <v>273</v>
      </c>
      <c r="J24" s="3" t="s">
        <v>274</v>
      </c>
      <c r="K24" s="5" t="s">
        <v>53</v>
      </c>
      <c r="L24" s="3" t="s">
        <v>275</v>
      </c>
      <c r="M24" s="3" t="s">
        <v>55</v>
      </c>
      <c r="N24" s="5" t="s">
        <v>56</v>
      </c>
    </row>
    <row r="25" spans="1:14" ht="28.8" x14ac:dyDescent="0.3">
      <c r="A25" s="3" t="s">
        <v>276</v>
      </c>
      <c r="B25" s="3" t="s">
        <v>155</v>
      </c>
      <c r="C25" s="3" t="s">
        <v>277</v>
      </c>
      <c r="D25" s="3" t="s">
        <v>278</v>
      </c>
      <c r="E25" s="5" t="s">
        <v>67</v>
      </c>
      <c r="F25" s="5" t="s">
        <v>49</v>
      </c>
      <c r="G25" s="5" t="s">
        <v>4</v>
      </c>
      <c r="H25" s="3" t="s">
        <v>279</v>
      </c>
      <c r="I25" s="3" t="s">
        <v>280</v>
      </c>
      <c r="J25" s="3" t="s">
        <v>281</v>
      </c>
      <c r="K25" s="5" t="s">
        <v>53</v>
      </c>
      <c r="L25" s="3" t="s">
        <v>282</v>
      </c>
      <c r="M25" s="3" t="s">
        <v>55</v>
      </c>
      <c r="N25" s="5" t="s">
        <v>56</v>
      </c>
    </row>
    <row r="26" spans="1:14" ht="28.8" x14ac:dyDescent="0.3">
      <c r="A26" s="3" t="s">
        <v>283</v>
      </c>
      <c r="B26" s="3" t="s">
        <v>155</v>
      </c>
      <c r="C26" s="3" t="s">
        <v>277</v>
      </c>
      <c r="D26" s="3" t="s">
        <v>284</v>
      </c>
      <c r="E26" s="5" t="s">
        <v>67</v>
      </c>
      <c r="F26" s="5" t="s">
        <v>49</v>
      </c>
      <c r="G26" s="5" t="s">
        <v>4</v>
      </c>
      <c r="H26" s="3" t="s">
        <v>279</v>
      </c>
      <c r="I26" s="3" t="s">
        <v>285</v>
      </c>
      <c r="J26" s="3" t="s">
        <v>286</v>
      </c>
      <c r="K26" s="5" t="s">
        <v>53</v>
      </c>
      <c r="L26" s="3" t="s">
        <v>287</v>
      </c>
      <c r="M26" s="3" t="s">
        <v>55</v>
      </c>
      <c r="N26" s="5" t="s">
        <v>56</v>
      </c>
    </row>
    <row r="27" spans="1:14" ht="28.8" x14ac:dyDescent="0.3">
      <c r="A27" s="3" t="s">
        <v>288</v>
      </c>
      <c r="B27" s="3" t="s">
        <v>155</v>
      </c>
      <c r="C27" s="3" t="s">
        <v>277</v>
      </c>
      <c r="D27" s="3" t="s">
        <v>289</v>
      </c>
      <c r="E27" s="5" t="s">
        <v>110</v>
      </c>
      <c r="F27" s="5" t="s">
        <v>49</v>
      </c>
      <c r="G27" s="5" t="s">
        <v>4</v>
      </c>
      <c r="H27" s="3" t="s">
        <v>279</v>
      </c>
      <c r="I27" s="3" t="s">
        <v>290</v>
      </c>
      <c r="J27" s="3" t="s">
        <v>291</v>
      </c>
      <c r="K27" s="5" t="s">
        <v>53</v>
      </c>
      <c r="L27" s="3" t="s">
        <v>292</v>
      </c>
      <c r="M27" s="3" t="s">
        <v>55</v>
      </c>
      <c r="N27" s="5" t="s">
        <v>56</v>
      </c>
    </row>
    <row r="28" spans="1:14" ht="28.8" x14ac:dyDescent="0.3">
      <c r="A28" s="3" t="s">
        <v>293</v>
      </c>
      <c r="B28" s="3" t="s">
        <v>155</v>
      </c>
      <c r="C28" s="3" t="s">
        <v>277</v>
      </c>
      <c r="D28" s="3" t="s">
        <v>294</v>
      </c>
      <c r="E28" s="5" t="s">
        <v>110</v>
      </c>
      <c r="F28" s="5" t="s">
        <v>49</v>
      </c>
      <c r="G28" s="5" t="s">
        <v>4</v>
      </c>
      <c r="H28" s="3" t="s">
        <v>279</v>
      </c>
      <c r="I28" s="3" t="s">
        <v>295</v>
      </c>
      <c r="J28" s="3" t="s">
        <v>296</v>
      </c>
      <c r="K28" s="5" t="s">
        <v>53</v>
      </c>
      <c r="L28" s="3" t="s">
        <v>297</v>
      </c>
      <c r="M28" s="3" t="s">
        <v>55</v>
      </c>
      <c r="N28" s="5" t="s">
        <v>56</v>
      </c>
    </row>
    <row r="29" spans="1:14" ht="28.8" x14ac:dyDescent="0.3">
      <c r="A29" s="3" t="s">
        <v>298</v>
      </c>
      <c r="B29" s="3" t="s">
        <v>155</v>
      </c>
      <c r="C29" s="3" t="s">
        <v>277</v>
      </c>
      <c r="D29" s="3" t="s">
        <v>299</v>
      </c>
      <c r="E29" s="5" t="s">
        <v>110</v>
      </c>
      <c r="F29" s="5" t="s">
        <v>49</v>
      </c>
      <c r="G29" s="5" t="s">
        <v>4</v>
      </c>
      <c r="H29" s="3" t="s">
        <v>279</v>
      </c>
      <c r="I29" s="3" t="s">
        <v>300</v>
      </c>
      <c r="J29" s="3" t="s">
        <v>296</v>
      </c>
      <c r="K29" s="5" t="s">
        <v>53</v>
      </c>
      <c r="L29" s="3" t="s">
        <v>301</v>
      </c>
      <c r="M29" s="3" t="s">
        <v>55</v>
      </c>
      <c r="N29" s="5" t="s">
        <v>56</v>
      </c>
    </row>
    <row r="30" spans="1:14" ht="28.8" x14ac:dyDescent="0.3">
      <c r="A30" s="3" t="s">
        <v>302</v>
      </c>
      <c r="B30" s="3" t="s">
        <v>155</v>
      </c>
      <c r="C30" s="3" t="s">
        <v>303</v>
      </c>
      <c r="D30" s="3" t="s">
        <v>304</v>
      </c>
      <c r="E30" s="5" t="s">
        <v>67</v>
      </c>
      <c r="F30" s="5" t="s">
        <v>49</v>
      </c>
      <c r="G30" s="5" t="s">
        <v>4</v>
      </c>
      <c r="H30" s="3" t="s">
        <v>279</v>
      </c>
      <c r="I30" s="3" t="s">
        <v>305</v>
      </c>
      <c r="J30" s="3" t="s">
        <v>306</v>
      </c>
      <c r="K30" s="5" t="s">
        <v>53</v>
      </c>
      <c r="L30" s="3" t="s">
        <v>307</v>
      </c>
      <c r="M30" s="3" t="s">
        <v>55</v>
      </c>
      <c r="N30" s="5" t="s">
        <v>56</v>
      </c>
    </row>
    <row r="31" spans="1:14" ht="28.8" x14ac:dyDescent="0.3">
      <c r="A31" s="3" t="s">
        <v>308</v>
      </c>
      <c r="B31" s="3" t="s">
        <v>155</v>
      </c>
      <c r="C31" s="3" t="s">
        <v>309</v>
      </c>
      <c r="D31" s="3" t="s">
        <v>310</v>
      </c>
      <c r="E31" s="5" t="s">
        <v>48</v>
      </c>
      <c r="F31" s="5" t="s">
        <v>49</v>
      </c>
      <c r="G31" s="5" t="s">
        <v>4</v>
      </c>
      <c r="H31" s="3" t="s">
        <v>311</v>
      </c>
      <c r="I31" s="3" t="s">
        <v>312</v>
      </c>
      <c r="J31" s="3" t="s">
        <v>313</v>
      </c>
      <c r="K31" s="5" t="s">
        <v>53</v>
      </c>
      <c r="L31" s="3" t="s">
        <v>314</v>
      </c>
      <c r="M31" s="3" t="s">
        <v>55</v>
      </c>
      <c r="N31" s="5" t="s">
        <v>56</v>
      </c>
    </row>
    <row r="32" spans="1:14" ht="28.8" x14ac:dyDescent="0.3">
      <c r="A32" s="3" t="s">
        <v>315</v>
      </c>
      <c r="B32" s="3" t="s">
        <v>155</v>
      </c>
      <c r="C32" s="3" t="s">
        <v>316</v>
      </c>
      <c r="D32" s="3" t="s">
        <v>317</v>
      </c>
      <c r="E32" s="5" t="s">
        <v>48</v>
      </c>
      <c r="F32" s="5" t="s">
        <v>49</v>
      </c>
      <c r="G32" s="5" t="s">
        <v>4</v>
      </c>
      <c r="H32" s="3" t="s">
        <v>318</v>
      </c>
      <c r="I32" s="3" t="s">
        <v>319</v>
      </c>
      <c r="J32" s="3" t="s">
        <v>320</v>
      </c>
      <c r="K32" s="5" t="s">
        <v>53</v>
      </c>
      <c r="L32" s="3" t="s">
        <v>321</v>
      </c>
      <c r="M32" s="3" t="s">
        <v>55</v>
      </c>
      <c r="N32" s="5" t="s">
        <v>56</v>
      </c>
    </row>
    <row r="33" spans="1:14" ht="28.8" x14ac:dyDescent="0.3">
      <c r="A33" s="3" t="s">
        <v>322</v>
      </c>
      <c r="B33" s="3" t="s">
        <v>155</v>
      </c>
      <c r="C33" s="3" t="s">
        <v>323</v>
      </c>
      <c r="D33" s="3" t="s">
        <v>324</v>
      </c>
      <c r="E33" s="5" t="s">
        <v>67</v>
      </c>
      <c r="F33" s="5" t="s">
        <v>49</v>
      </c>
      <c r="G33" s="5" t="s">
        <v>4</v>
      </c>
      <c r="H33" s="3" t="s">
        <v>228</v>
      </c>
      <c r="I33" s="3" t="s">
        <v>325</v>
      </c>
      <c r="J33" s="3" t="s">
        <v>326</v>
      </c>
      <c r="K33" s="5" t="s">
        <v>53</v>
      </c>
      <c r="L33" s="3" t="s">
        <v>327</v>
      </c>
      <c r="M33" s="3" t="s">
        <v>55</v>
      </c>
      <c r="N33" s="5" t="s">
        <v>56</v>
      </c>
    </row>
    <row r="34" spans="1:14" ht="28.8" x14ac:dyDescent="0.3">
      <c r="A34" s="3" t="s">
        <v>328</v>
      </c>
      <c r="B34" s="3" t="s">
        <v>155</v>
      </c>
      <c r="C34" s="3" t="s">
        <v>323</v>
      </c>
      <c r="D34" s="3" t="s">
        <v>329</v>
      </c>
      <c r="E34" s="5" t="s">
        <v>67</v>
      </c>
      <c r="F34" s="5" t="s">
        <v>49</v>
      </c>
      <c r="G34" s="5" t="s">
        <v>4</v>
      </c>
      <c r="H34" s="3" t="s">
        <v>330</v>
      </c>
      <c r="I34" s="3" t="s">
        <v>331</v>
      </c>
      <c r="J34" s="3" t="s">
        <v>332</v>
      </c>
      <c r="K34" s="5" t="s">
        <v>53</v>
      </c>
      <c r="L34" s="3" t="s">
        <v>333</v>
      </c>
      <c r="M34" s="3" t="s">
        <v>55</v>
      </c>
      <c r="N34" s="5" t="s">
        <v>56</v>
      </c>
    </row>
    <row r="35" spans="1:14" ht="28.8" x14ac:dyDescent="0.3">
      <c r="A35" s="3" t="s">
        <v>334</v>
      </c>
      <c r="B35" s="3" t="s">
        <v>155</v>
      </c>
      <c r="C35" s="3" t="s">
        <v>335</v>
      </c>
      <c r="D35" s="3" t="s">
        <v>336</v>
      </c>
      <c r="E35" s="5" t="s">
        <v>110</v>
      </c>
      <c r="F35" s="5" t="s">
        <v>337</v>
      </c>
      <c r="G35" s="5" t="s">
        <v>4</v>
      </c>
      <c r="H35" s="3" t="s">
        <v>162</v>
      </c>
      <c r="I35" s="3" t="s">
        <v>338</v>
      </c>
      <c r="J35" s="3" t="s">
        <v>339</v>
      </c>
      <c r="K35" s="5" t="s">
        <v>53</v>
      </c>
      <c r="L35" s="3" t="s">
        <v>340</v>
      </c>
      <c r="M35" s="3" t="s">
        <v>55</v>
      </c>
      <c r="N35" s="5" t="s">
        <v>56</v>
      </c>
    </row>
    <row r="36" spans="1:14" ht="28.8" x14ac:dyDescent="0.3">
      <c r="A36" s="3" t="s">
        <v>341</v>
      </c>
      <c r="B36" s="3" t="s">
        <v>155</v>
      </c>
      <c r="C36" s="3" t="s">
        <v>335</v>
      </c>
      <c r="D36" s="3" t="s">
        <v>342</v>
      </c>
      <c r="E36" s="5" t="s">
        <v>110</v>
      </c>
      <c r="F36" s="5" t="s">
        <v>337</v>
      </c>
      <c r="G36" s="5" t="s">
        <v>4</v>
      </c>
      <c r="H36" s="3" t="s">
        <v>279</v>
      </c>
      <c r="I36" s="3" t="s">
        <v>343</v>
      </c>
      <c r="J36" s="3" t="s">
        <v>344</v>
      </c>
      <c r="K36" s="5" t="s">
        <v>53</v>
      </c>
      <c r="L36" s="3" t="s">
        <v>345</v>
      </c>
      <c r="M36" s="3" t="s">
        <v>55</v>
      </c>
      <c r="N36" s="5" t="s">
        <v>56</v>
      </c>
    </row>
    <row r="37" spans="1:14" ht="28.8" x14ac:dyDescent="0.3">
      <c r="A37" s="3" t="s">
        <v>346</v>
      </c>
      <c r="B37" s="3" t="s">
        <v>155</v>
      </c>
      <c r="C37" s="3" t="s">
        <v>347</v>
      </c>
      <c r="D37" s="3" t="s">
        <v>348</v>
      </c>
      <c r="E37" s="5" t="s">
        <v>110</v>
      </c>
      <c r="F37" s="5" t="s">
        <v>337</v>
      </c>
      <c r="G37" s="5" t="s">
        <v>4</v>
      </c>
      <c r="H37" s="3" t="s">
        <v>216</v>
      </c>
      <c r="I37" s="3" t="s">
        <v>349</v>
      </c>
      <c r="J37" s="3" t="s">
        <v>350</v>
      </c>
      <c r="K37" s="5" t="s">
        <v>53</v>
      </c>
      <c r="L37" s="3" t="s">
        <v>351</v>
      </c>
      <c r="M37" s="3" t="s">
        <v>55</v>
      </c>
      <c r="N37" s="5" t="s">
        <v>56</v>
      </c>
    </row>
    <row r="38" spans="1:14" ht="28.8" x14ac:dyDescent="0.3">
      <c r="A38" s="3" t="s">
        <v>352</v>
      </c>
      <c r="B38" s="3" t="s">
        <v>155</v>
      </c>
      <c r="C38" s="3" t="s">
        <v>347</v>
      </c>
      <c r="D38" s="3" t="s">
        <v>353</v>
      </c>
      <c r="E38" s="5" t="s">
        <v>110</v>
      </c>
      <c r="F38" s="5" t="s">
        <v>337</v>
      </c>
      <c r="G38" s="5" t="s">
        <v>4</v>
      </c>
      <c r="H38" s="3" t="s">
        <v>162</v>
      </c>
      <c r="I38" s="3" t="s">
        <v>354</v>
      </c>
      <c r="J38" s="3" t="s">
        <v>355</v>
      </c>
      <c r="K38" s="5" t="s">
        <v>53</v>
      </c>
      <c r="L38" s="3" t="s">
        <v>356</v>
      </c>
      <c r="M38" s="3" t="s">
        <v>55</v>
      </c>
      <c r="N38" s="5" t="s">
        <v>56</v>
      </c>
    </row>
    <row r="39" spans="1:14" ht="28.8" x14ac:dyDescent="0.3">
      <c r="A39" s="3" t="s">
        <v>357</v>
      </c>
      <c r="B39" s="3" t="s">
        <v>155</v>
      </c>
      <c r="C39" s="3" t="s">
        <v>88</v>
      </c>
      <c r="D39" s="3" t="s">
        <v>358</v>
      </c>
      <c r="E39" s="5" t="s">
        <v>67</v>
      </c>
      <c r="F39" s="5" t="s">
        <v>359</v>
      </c>
      <c r="G39" s="5" t="s">
        <v>3</v>
      </c>
      <c r="H39" s="3" t="s">
        <v>360</v>
      </c>
      <c r="I39" s="3" t="s">
        <v>361</v>
      </c>
      <c r="J39" s="3" t="s">
        <v>362</v>
      </c>
      <c r="K39" s="5" t="s">
        <v>53</v>
      </c>
      <c r="L39" s="3" t="s">
        <v>363</v>
      </c>
      <c r="M39" s="3" t="s">
        <v>55</v>
      </c>
      <c r="N39" s="5" t="s">
        <v>56</v>
      </c>
    </row>
    <row r="40" spans="1:14" ht="28.8" x14ac:dyDescent="0.3">
      <c r="A40" s="3" t="s">
        <v>364</v>
      </c>
      <c r="B40" s="3" t="s">
        <v>155</v>
      </c>
      <c r="C40" s="3" t="s">
        <v>365</v>
      </c>
      <c r="D40" s="3" t="s">
        <v>366</v>
      </c>
      <c r="E40" s="5" t="s">
        <v>67</v>
      </c>
      <c r="F40" s="5" t="s">
        <v>60</v>
      </c>
      <c r="G40" s="5" t="s">
        <v>4</v>
      </c>
      <c r="H40" s="3" t="s">
        <v>162</v>
      </c>
      <c r="I40" s="3" t="s">
        <v>367</v>
      </c>
      <c r="J40" s="3" t="s">
        <v>368</v>
      </c>
      <c r="K40" s="5" t="s">
        <v>53</v>
      </c>
      <c r="L40" s="3" t="s">
        <v>369</v>
      </c>
      <c r="M40" s="3" t="s">
        <v>55</v>
      </c>
      <c r="N40" s="5" t="s">
        <v>56</v>
      </c>
    </row>
    <row r="41" spans="1:14" ht="28.8" x14ac:dyDescent="0.3">
      <c r="A41" s="3" t="s">
        <v>370</v>
      </c>
      <c r="B41" s="3" t="s">
        <v>155</v>
      </c>
      <c r="C41" s="3" t="s">
        <v>371</v>
      </c>
      <c r="D41" s="3" t="s">
        <v>372</v>
      </c>
      <c r="E41" s="5" t="s">
        <v>110</v>
      </c>
      <c r="F41" s="5" t="s">
        <v>149</v>
      </c>
      <c r="G41" s="5" t="s">
        <v>4</v>
      </c>
      <c r="H41" s="3" t="s">
        <v>373</v>
      </c>
      <c r="I41" s="3" t="s">
        <v>374</v>
      </c>
      <c r="J41" s="3" t="s">
        <v>375</v>
      </c>
      <c r="K41" s="5" t="s">
        <v>53</v>
      </c>
      <c r="L41" s="3" t="s">
        <v>376</v>
      </c>
      <c r="M41" s="3" t="s">
        <v>55</v>
      </c>
      <c r="N41" s="5" t="s">
        <v>56</v>
      </c>
    </row>
  </sheetData>
  <conditionalFormatting sqref="E2:E41">
    <cfRule type="cellIs" dxfId="59" priority="1" operator="equal">
      <formula>"High"</formula>
    </cfRule>
    <cfRule type="cellIs" dxfId="58" priority="2" operator="equal">
      <formula>"Medium"</formula>
    </cfRule>
    <cfRule type="cellIs" dxfId="57" priority="3" operator="equal">
      <formula>"Low"</formula>
    </cfRule>
  </conditionalFormatting>
  <conditionalFormatting sqref="G2:G41">
    <cfRule type="cellIs" dxfId="56" priority="4" operator="equal">
      <formula>"Smoke"</formula>
    </cfRule>
    <cfRule type="cellIs" dxfId="55" priority="5" operator="equal">
      <formula>"Regression"</formula>
    </cfRule>
  </conditionalFormatting>
  <conditionalFormatting sqref="N2:N41">
    <cfRule type="cellIs" dxfId="54" priority="6" operator="equal">
      <formula>"Pass"</formula>
    </cfRule>
    <cfRule type="cellIs" dxfId="53" priority="7" operator="equal">
      <formula>"Fail"</formula>
    </cfRule>
    <cfRule type="cellIs" dxfId="52" priority="8" operator="equal">
      <formula>"Blocked"</formula>
    </cfRule>
    <cfRule type="cellIs" dxfId="51" priority="9" operator="equal">
      <formula>"Not Run"</formula>
    </cfRule>
  </conditionalFormatting>
  <dataValidations count="4">
    <dataValidation type="list" allowBlank="1" sqref="N2:N41" xr:uid="{00000000-0002-0000-0200-000000000000}">
      <formula1>"Pass,Fail,Blocked,Not Run"</formula1>
    </dataValidation>
    <dataValidation type="list" sqref="G2:G41" xr:uid="{00000000-0002-0000-0200-000001000000}">
      <formula1>"Smoke,Regression"</formula1>
    </dataValidation>
    <dataValidation type="list" sqref="E2:E41" xr:uid="{00000000-0002-0000-0200-000002000000}">
      <formula1>"High,Medium,Low"</formula1>
    </dataValidation>
    <dataValidation type="list" sqref="K2:K41" xr:uid="{00000000-0002-0000-0200-000003000000}">
      <formula1>"Yes,No"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25"/>
  <sheetViews>
    <sheetView showGridLines="0" topLeftCell="G1" workbookViewId="0">
      <pane ySplit="1" topLeftCell="A17" activePane="bottomLeft" state="frozen"/>
      <selection pane="bottomLeft"/>
    </sheetView>
  </sheetViews>
  <sheetFormatPr defaultRowHeight="14.4" x14ac:dyDescent="0.3"/>
  <cols>
    <col min="1" max="1" width="16" customWidth="1"/>
    <col min="2" max="2" width="14" customWidth="1"/>
    <col min="3" max="3" width="16" customWidth="1"/>
    <col min="4" max="4" width="34" customWidth="1"/>
    <col min="5" max="5" width="11" customWidth="1"/>
    <col min="6" max="7" width="14" customWidth="1"/>
    <col min="8" max="8" width="24" customWidth="1"/>
    <col min="9" max="9" width="55" customWidth="1"/>
    <col min="10" max="10" width="42" customWidth="1"/>
    <col min="11" max="12" width="18" customWidth="1"/>
    <col min="13" max="13" width="24" customWidth="1"/>
    <col min="14" max="14" width="12" customWidth="1"/>
  </cols>
  <sheetData>
    <row r="1" spans="1:14" ht="28.8" x14ac:dyDescent="0.3">
      <c r="A1" s="2" t="s">
        <v>31</v>
      </c>
      <c r="B1" s="2" t="s">
        <v>32</v>
      </c>
      <c r="C1" s="2" t="s">
        <v>33</v>
      </c>
      <c r="D1" s="2" t="s">
        <v>34</v>
      </c>
      <c r="E1" s="2" t="s">
        <v>35</v>
      </c>
      <c r="F1" s="2" t="s">
        <v>36</v>
      </c>
      <c r="G1" s="2" t="s">
        <v>37</v>
      </c>
      <c r="H1" s="2" t="s">
        <v>38</v>
      </c>
      <c r="I1" s="2" t="s">
        <v>39</v>
      </c>
      <c r="J1" s="2" t="s">
        <v>40</v>
      </c>
      <c r="K1" s="2" t="s">
        <v>41</v>
      </c>
      <c r="L1" s="2" t="s">
        <v>42</v>
      </c>
      <c r="M1" s="2" t="s">
        <v>43</v>
      </c>
      <c r="N1" s="2" t="s">
        <v>44</v>
      </c>
    </row>
    <row r="2" spans="1:14" ht="28.8" x14ac:dyDescent="0.3">
      <c r="A2" s="3" t="s">
        <v>377</v>
      </c>
      <c r="B2" s="3" t="s">
        <v>10</v>
      </c>
      <c r="C2" s="3" t="s">
        <v>88</v>
      </c>
      <c r="D2" s="3" t="s">
        <v>378</v>
      </c>
      <c r="E2" s="5" t="s">
        <v>48</v>
      </c>
      <c r="F2" s="5" t="s">
        <v>49</v>
      </c>
      <c r="G2" s="5" t="s">
        <v>3</v>
      </c>
      <c r="H2" s="3" t="s">
        <v>61</v>
      </c>
      <c r="I2" s="3" t="s">
        <v>90</v>
      </c>
      <c r="J2" s="3" t="s">
        <v>379</v>
      </c>
      <c r="K2" s="5" t="s">
        <v>53</v>
      </c>
      <c r="L2" s="3" t="s">
        <v>380</v>
      </c>
      <c r="M2" s="3" t="s">
        <v>55</v>
      </c>
      <c r="N2" s="5" t="s">
        <v>56</v>
      </c>
    </row>
    <row r="3" spans="1:14" ht="28.8" x14ac:dyDescent="0.3">
      <c r="A3" s="3" t="s">
        <v>381</v>
      </c>
      <c r="B3" s="3" t="s">
        <v>10</v>
      </c>
      <c r="C3" s="3" t="s">
        <v>382</v>
      </c>
      <c r="D3" s="3" t="s">
        <v>383</v>
      </c>
      <c r="E3" s="5" t="s">
        <v>48</v>
      </c>
      <c r="F3" s="5" t="s">
        <v>60</v>
      </c>
      <c r="G3" s="5" t="s">
        <v>3</v>
      </c>
      <c r="H3" s="3" t="s">
        <v>384</v>
      </c>
      <c r="I3" s="3" t="s">
        <v>385</v>
      </c>
      <c r="J3" s="3" t="s">
        <v>386</v>
      </c>
      <c r="K3" s="5" t="s">
        <v>53</v>
      </c>
      <c r="L3" s="3" t="s">
        <v>387</v>
      </c>
      <c r="M3" s="3" t="s">
        <v>55</v>
      </c>
      <c r="N3" s="5" t="s">
        <v>56</v>
      </c>
    </row>
    <row r="4" spans="1:14" ht="28.8" x14ac:dyDescent="0.3">
      <c r="A4" s="3" t="s">
        <v>388</v>
      </c>
      <c r="B4" s="3" t="s">
        <v>10</v>
      </c>
      <c r="C4" s="3" t="s">
        <v>382</v>
      </c>
      <c r="D4" s="3" t="s">
        <v>389</v>
      </c>
      <c r="E4" s="5" t="s">
        <v>67</v>
      </c>
      <c r="F4" s="5" t="s">
        <v>60</v>
      </c>
      <c r="G4" s="5" t="s">
        <v>4</v>
      </c>
      <c r="H4" s="3" t="s">
        <v>384</v>
      </c>
      <c r="I4" s="3" t="s">
        <v>390</v>
      </c>
      <c r="J4" s="3" t="s">
        <v>391</v>
      </c>
      <c r="K4" s="5" t="s">
        <v>53</v>
      </c>
      <c r="L4" s="3" t="s">
        <v>392</v>
      </c>
      <c r="M4" s="3" t="s">
        <v>55</v>
      </c>
      <c r="N4" s="5" t="s">
        <v>56</v>
      </c>
    </row>
    <row r="5" spans="1:14" ht="28.8" x14ac:dyDescent="0.3">
      <c r="A5" s="3" t="s">
        <v>393</v>
      </c>
      <c r="B5" s="3" t="s">
        <v>10</v>
      </c>
      <c r="C5" s="3" t="s">
        <v>382</v>
      </c>
      <c r="D5" s="3" t="s">
        <v>394</v>
      </c>
      <c r="E5" s="5" t="s">
        <v>67</v>
      </c>
      <c r="F5" s="5" t="s">
        <v>60</v>
      </c>
      <c r="G5" s="5" t="s">
        <v>4</v>
      </c>
      <c r="H5" s="3" t="s">
        <v>384</v>
      </c>
      <c r="I5" s="3" t="s">
        <v>390</v>
      </c>
      <c r="J5" s="3" t="s">
        <v>395</v>
      </c>
      <c r="K5" s="5" t="s">
        <v>53</v>
      </c>
      <c r="L5" s="3" t="s">
        <v>396</v>
      </c>
      <c r="M5" s="3" t="s">
        <v>55</v>
      </c>
      <c r="N5" s="5" t="s">
        <v>56</v>
      </c>
    </row>
    <row r="6" spans="1:14" ht="28.8" x14ac:dyDescent="0.3">
      <c r="A6" s="3" t="s">
        <v>397</v>
      </c>
      <c r="B6" s="3" t="s">
        <v>10</v>
      </c>
      <c r="C6" s="3" t="s">
        <v>398</v>
      </c>
      <c r="D6" s="3" t="s">
        <v>399</v>
      </c>
      <c r="E6" s="5" t="s">
        <v>48</v>
      </c>
      <c r="F6" s="5" t="s">
        <v>49</v>
      </c>
      <c r="G6" s="5" t="s">
        <v>3</v>
      </c>
      <c r="H6" s="3" t="s">
        <v>384</v>
      </c>
      <c r="I6" s="3" t="s">
        <v>400</v>
      </c>
      <c r="J6" s="3" t="s">
        <v>399</v>
      </c>
      <c r="K6" s="5" t="s">
        <v>53</v>
      </c>
      <c r="L6" s="3" t="s">
        <v>401</v>
      </c>
      <c r="M6" s="3" t="s">
        <v>55</v>
      </c>
      <c r="N6" s="5" t="s">
        <v>56</v>
      </c>
    </row>
    <row r="7" spans="1:14" ht="28.8" x14ac:dyDescent="0.3">
      <c r="A7" s="3" t="s">
        <v>402</v>
      </c>
      <c r="B7" s="3" t="s">
        <v>10</v>
      </c>
      <c r="C7" s="3" t="s">
        <v>398</v>
      </c>
      <c r="D7" s="3" t="s">
        <v>403</v>
      </c>
      <c r="E7" s="5" t="s">
        <v>48</v>
      </c>
      <c r="F7" s="5" t="s">
        <v>60</v>
      </c>
      <c r="G7" s="5" t="s">
        <v>4</v>
      </c>
      <c r="H7" s="3" t="s">
        <v>404</v>
      </c>
      <c r="I7" s="3" t="s">
        <v>405</v>
      </c>
      <c r="J7" s="3" t="s">
        <v>406</v>
      </c>
      <c r="K7" s="5" t="s">
        <v>53</v>
      </c>
      <c r="L7" s="3" t="s">
        <v>407</v>
      </c>
      <c r="M7" s="3" t="s">
        <v>55</v>
      </c>
      <c r="N7" s="5" t="s">
        <v>56</v>
      </c>
    </row>
    <row r="8" spans="1:14" ht="28.8" x14ac:dyDescent="0.3">
      <c r="A8" s="3" t="s">
        <v>408</v>
      </c>
      <c r="B8" s="3" t="s">
        <v>10</v>
      </c>
      <c r="C8" s="3" t="s">
        <v>398</v>
      </c>
      <c r="D8" s="3" t="s">
        <v>409</v>
      </c>
      <c r="E8" s="5" t="s">
        <v>67</v>
      </c>
      <c r="F8" s="5" t="s">
        <v>60</v>
      </c>
      <c r="G8" s="5" t="s">
        <v>4</v>
      </c>
      <c r="H8" s="3" t="s">
        <v>404</v>
      </c>
      <c r="I8" s="3" t="s">
        <v>405</v>
      </c>
      <c r="J8" s="3" t="s">
        <v>410</v>
      </c>
      <c r="K8" s="5" t="s">
        <v>53</v>
      </c>
      <c r="L8" s="3" t="s">
        <v>411</v>
      </c>
      <c r="M8" s="3" t="s">
        <v>55</v>
      </c>
      <c r="N8" s="5" t="s">
        <v>56</v>
      </c>
    </row>
    <row r="9" spans="1:14" ht="28.8" x14ac:dyDescent="0.3">
      <c r="A9" s="3" t="s">
        <v>412</v>
      </c>
      <c r="B9" s="3" t="s">
        <v>10</v>
      </c>
      <c r="C9" s="3" t="s">
        <v>398</v>
      </c>
      <c r="D9" s="3" t="s">
        <v>413</v>
      </c>
      <c r="E9" s="5" t="s">
        <v>48</v>
      </c>
      <c r="F9" s="5" t="s">
        <v>60</v>
      </c>
      <c r="G9" s="5" t="s">
        <v>4</v>
      </c>
      <c r="H9" s="3" t="s">
        <v>404</v>
      </c>
      <c r="I9" s="3" t="s">
        <v>405</v>
      </c>
      <c r="J9" s="3" t="s">
        <v>414</v>
      </c>
      <c r="K9" s="5" t="s">
        <v>53</v>
      </c>
      <c r="L9" s="3" t="s">
        <v>415</v>
      </c>
      <c r="M9" s="3" t="s">
        <v>55</v>
      </c>
      <c r="N9" s="5" t="s">
        <v>56</v>
      </c>
    </row>
    <row r="10" spans="1:14" ht="28.8" x14ac:dyDescent="0.3">
      <c r="A10" s="3" t="s">
        <v>416</v>
      </c>
      <c r="B10" s="3" t="s">
        <v>10</v>
      </c>
      <c r="C10" s="3" t="s">
        <v>398</v>
      </c>
      <c r="D10" s="3" t="s">
        <v>417</v>
      </c>
      <c r="E10" s="5" t="s">
        <v>67</v>
      </c>
      <c r="F10" s="5" t="s">
        <v>60</v>
      </c>
      <c r="G10" s="5" t="s">
        <v>4</v>
      </c>
      <c r="H10" s="3" t="s">
        <v>404</v>
      </c>
      <c r="I10" s="3" t="s">
        <v>418</v>
      </c>
      <c r="J10" s="3" t="s">
        <v>419</v>
      </c>
      <c r="K10" s="5" t="s">
        <v>53</v>
      </c>
      <c r="L10" s="3" t="s">
        <v>420</v>
      </c>
      <c r="M10" s="3" t="s">
        <v>55</v>
      </c>
      <c r="N10" s="5" t="s">
        <v>56</v>
      </c>
    </row>
    <row r="11" spans="1:14" ht="28.8" x14ac:dyDescent="0.3">
      <c r="A11" s="3" t="s">
        <v>421</v>
      </c>
      <c r="B11" s="3" t="s">
        <v>10</v>
      </c>
      <c r="C11" s="3" t="s">
        <v>422</v>
      </c>
      <c r="D11" s="3" t="s">
        <v>423</v>
      </c>
      <c r="E11" s="5" t="s">
        <v>48</v>
      </c>
      <c r="F11" s="5" t="s">
        <v>60</v>
      </c>
      <c r="G11" s="5" t="s">
        <v>4</v>
      </c>
      <c r="H11" s="3" t="s">
        <v>384</v>
      </c>
      <c r="I11" s="3" t="s">
        <v>424</v>
      </c>
      <c r="J11" s="3" t="s">
        <v>425</v>
      </c>
      <c r="K11" s="5" t="s">
        <v>53</v>
      </c>
      <c r="L11" s="3" t="s">
        <v>426</v>
      </c>
      <c r="M11" s="3" t="s">
        <v>55</v>
      </c>
      <c r="N11" s="5" t="s">
        <v>56</v>
      </c>
    </row>
    <row r="12" spans="1:14" ht="28.8" x14ac:dyDescent="0.3">
      <c r="A12" s="3" t="s">
        <v>427</v>
      </c>
      <c r="B12" s="3" t="s">
        <v>10</v>
      </c>
      <c r="C12" s="3" t="s">
        <v>422</v>
      </c>
      <c r="D12" s="3" t="s">
        <v>428</v>
      </c>
      <c r="E12" s="5" t="s">
        <v>67</v>
      </c>
      <c r="F12" s="5" t="s">
        <v>60</v>
      </c>
      <c r="G12" s="5" t="s">
        <v>4</v>
      </c>
      <c r="H12" s="3" t="s">
        <v>384</v>
      </c>
      <c r="I12" s="3" t="s">
        <v>424</v>
      </c>
      <c r="J12" s="3" t="s">
        <v>429</v>
      </c>
      <c r="K12" s="5" t="s">
        <v>53</v>
      </c>
      <c r="L12" s="3" t="s">
        <v>430</v>
      </c>
      <c r="M12" s="3" t="s">
        <v>55</v>
      </c>
      <c r="N12" s="5" t="s">
        <v>56</v>
      </c>
    </row>
    <row r="13" spans="1:14" ht="28.8" x14ac:dyDescent="0.3">
      <c r="A13" s="3" t="s">
        <v>431</v>
      </c>
      <c r="B13" s="3" t="s">
        <v>10</v>
      </c>
      <c r="C13" s="3" t="s">
        <v>422</v>
      </c>
      <c r="D13" s="3" t="s">
        <v>432</v>
      </c>
      <c r="E13" s="5" t="s">
        <v>48</v>
      </c>
      <c r="F13" s="5" t="s">
        <v>49</v>
      </c>
      <c r="G13" s="5" t="s">
        <v>3</v>
      </c>
      <c r="H13" s="3" t="s">
        <v>384</v>
      </c>
      <c r="I13" s="3" t="s">
        <v>433</v>
      </c>
      <c r="J13" s="3" t="s">
        <v>434</v>
      </c>
      <c r="K13" s="5" t="s">
        <v>53</v>
      </c>
      <c r="L13" s="3" t="s">
        <v>435</v>
      </c>
      <c r="M13" s="3" t="s">
        <v>55</v>
      </c>
      <c r="N13" s="5" t="s">
        <v>56</v>
      </c>
    </row>
    <row r="14" spans="1:14" ht="28.8" x14ac:dyDescent="0.3">
      <c r="A14" s="3" t="s">
        <v>436</v>
      </c>
      <c r="B14" s="3" t="s">
        <v>10</v>
      </c>
      <c r="C14" s="3" t="s">
        <v>422</v>
      </c>
      <c r="D14" s="3" t="s">
        <v>437</v>
      </c>
      <c r="E14" s="5" t="s">
        <v>67</v>
      </c>
      <c r="F14" s="5" t="s">
        <v>49</v>
      </c>
      <c r="G14" s="5" t="s">
        <v>4</v>
      </c>
      <c r="H14" s="3" t="s">
        <v>384</v>
      </c>
      <c r="I14" s="3" t="s">
        <v>438</v>
      </c>
      <c r="J14" s="3" t="s">
        <v>439</v>
      </c>
      <c r="K14" s="5" t="s">
        <v>53</v>
      </c>
      <c r="L14" s="3" t="s">
        <v>440</v>
      </c>
      <c r="M14" s="3" t="s">
        <v>55</v>
      </c>
      <c r="N14" s="5" t="s">
        <v>56</v>
      </c>
    </row>
    <row r="15" spans="1:14" ht="28.8" x14ac:dyDescent="0.3">
      <c r="A15" s="3" t="s">
        <v>441</v>
      </c>
      <c r="B15" s="3" t="s">
        <v>10</v>
      </c>
      <c r="C15" s="3" t="s">
        <v>422</v>
      </c>
      <c r="D15" s="3" t="s">
        <v>442</v>
      </c>
      <c r="E15" s="5" t="s">
        <v>110</v>
      </c>
      <c r="F15" s="5" t="s">
        <v>337</v>
      </c>
      <c r="G15" s="5" t="s">
        <v>4</v>
      </c>
      <c r="H15" s="3" t="s">
        <v>384</v>
      </c>
      <c r="I15" s="3" t="s">
        <v>443</v>
      </c>
      <c r="J15" s="3" t="s">
        <v>444</v>
      </c>
      <c r="K15" s="5" t="s">
        <v>53</v>
      </c>
      <c r="L15" s="3" t="s">
        <v>445</v>
      </c>
      <c r="M15" s="3" t="s">
        <v>55</v>
      </c>
      <c r="N15" s="5" t="s">
        <v>56</v>
      </c>
    </row>
    <row r="16" spans="1:14" ht="28.8" x14ac:dyDescent="0.3">
      <c r="A16" s="3" t="s">
        <v>446</v>
      </c>
      <c r="B16" s="3" t="s">
        <v>10</v>
      </c>
      <c r="C16" s="3" t="s">
        <v>422</v>
      </c>
      <c r="D16" s="3" t="s">
        <v>447</v>
      </c>
      <c r="E16" s="5" t="s">
        <v>48</v>
      </c>
      <c r="F16" s="5" t="s">
        <v>190</v>
      </c>
      <c r="G16" s="5" t="s">
        <v>4</v>
      </c>
      <c r="H16" s="3" t="s">
        <v>384</v>
      </c>
      <c r="I16" s="3" t="s">
        <v>448</v>
      </c>
      <c r="J16" s="3" t="s">
        <v>449</v>
      </c>
      <c r="K16" s="5" t="s">
        <v>53</v>
      </c>
      <c r="L16" s="3" t="s">
        <v>450</v>
      </c>
      <c r="M16" s="3" t="s">
        <v>55</v>
      </c>
      <c r="N16" s="5" t="s">
        <v>56</v>
      </c>
    </row>
    <row r="17" spans="1:14" ht="28.8" x14ac:dyDescent="0.3">
      <c r="A17" s="3" t="s">
        <v>451</v>
      </c>
      <c r="B17" s="3" t="s">
        <v>10</v>
      </c>
      <c r="C17" s="3" t="s">
        <v>422</v>
      </c>
      <c r="D17" s="3" t="s">
        <v>452</v>
      </c>
      <c r="E17" s="5" t="s">
        <v>67</v>
      </c>
      <c r="F17" s="5" t="s">
        <v>190</v>
      </c>
      <c r="G17" s="5" t="s">
        <v>4</v>
      </c>
      <c r="H17" s="3" t="s">
        <v>384</v>
      </c>
      <c r="I17" s="3" t="s">
        <v>453</v>
      </c>
      <c r="J17" s="3" t="s">
        <v>454</v>
      </c>
      <c r="K17" s="5" t="s">
        <v>53</v>
      </c>
      <c r="L17" s="3" t="s">
        <v>455</v>
      </c>
      <c r="M17" s="3" t="s">
        <v>55</v>
      </c>
      <c r="N17" s="5" t="s">
        <v>56</v>
      </c>
    </row>
    <row r="18" spans="1:14" ht="28.8" x14ac:dyDescent="0.3">
      <c r="A18" s="3" t="s">
        <v>456</v>
      </c>
      <c r="B18" s="3" t="s">
        <v>10</v>
      </c>
      <c r="C18" s="3" t="s">
        <v>11</v>
      </c>
      <c r="D18" s="3" t="s">
        <v>457</v>
      </c>
      <c r="E18" s="5" t="s">
        <v>48</v>
      </c>
      <c r="F18" s="5" t="s">
        <v>49</v>
      </c>
      <c r="G18" s="5" t="s">
        <v>4</v>
      </c>
      <c r="H18" s="3" t="s">
        <v>384</v>
      </c>
      <c r="I18" s="3" t="s">
        <v>458</v>
      </c>
      <c r="J18" s="3" t="s">
        <v>459</v>
      </c>
      <c r="K18" s="5" t="s">
        <v>53</v>
      </c>
      <c r="L18" s="3" t="s">
        <v>460</v>
      </c>
      <c r="M18" s="3" t="s">
        <v>55</v>
      </c>
      <c r="N18" s="5" t="s">
        <v>56</v>
      </c>
    </row>
    <row r="19" spans="1:14" ht="28.8" x14ac:dyDescent="0.3">
      <c r="A19" s="3" t="s">
        <v>461</v>
      </c>
      <c r="B19" s="3" t="s">
        <v>10</v>
      </c>
      <c r="C19" s="3" t="s">
        <v>11</v>
      </c>
      <c r="D19" s="3" t="s">
        <v>462</v>
      </c>
      <c r="E19" s="5" t="s">
        <v>48</v>
      </c>
      <c r="F19" s="5" t="s">
        <v>49</v>
      </c>
      <c r="G19" s="5" t="s">
        <v>4</v>
      </c>
      <c r="H19" s="3" t="s">
        <v>463</v>
      </c>
      <c r="I19" s="3" t="s">
        <v>464</v>
      </c>
      <c r="J19" s="3" t="s">
        <v>465</v>
      </c>
      <c r="K19" s="5" t="s">
        <v>53</v>
      </c>
      <c r="L19" s="3" t="s">
        <v>466</v>
      </c>
      <c r="M19" s="3" t="s">
        <v>55</v>
      </c>
      <c r="N19" s="5" t="s">
        <v>56</v>
      </c>
    </row>
    <row r="20" spans="1:14" ht="28.8" x14ac:dyDescent="0.3">
      <c r="A20" s="3" t="s">
        <v>467</v>
      </c>
      <c r="B20" s="3" t="s">
        <v>10</v>
      </c>
      <c r="C20" s="3" t="s">
        <v>11</v>
      </c>
      <c r="D20" s="3" t="s">
        <v>468</v>
      </c>
      <c r="E20" s="5" t="s">
        <v>67</v>
      </c>
      <c r="F20" s="5" t="s">
        <v>49</v>
      </c>
      <c r="G20" s="5" t="s">
        <v>4</v>
      </c>
      <c r="H20" s="3" t="s">
        <v>463</v>
      </c>
      <c r="I20" s="3" t="s">
        <v>469</v>
      </c>
      <c r="J20" s="3" t="s">
        <v>470</v>
      </c>
      <c r="K20" s="5" t="s">
        <v>53</v>
      </c>
      <c r="L20" s="3" t="s">
        <v>471</v>
      </c>
      <c r="M20" s="3" t="s">
        <v>55</v>
      </c>
      <c r="N20" s="5" t="s">
        <v>56</v>
      </c>
    </row>
    <row r="21" spans="1:14" ht="28.8" x14ac:dyDescent="0.3">
      <c r="A21" s="3" t="s">
        <v>472</v>
      </c>
      <c r="B21" s="3" t="s">
        <v>10</v>
      </c>
      <c r="C21" s="3" t="s">
        <v>473</v>
      </c>
      <c r="D21" s="3" t="s">
        <v>474</v>
      </c>
      <c r="E21" s="5" t="s">
        <v>67</v>
      </c>
      <c r="F21" s="5" t="s">
        <v>49</v>
      </c>
      <c r="G21" s="5" t="s">
        <v>4</v>
      </c>
      <c r="H21" s="3" t="s">
        <v>404</v>
      </c>
      <c r="I21" s="3" t="s">
        <v>475</v>
      </c>
      <c r="J21" s="3" t="s">
        <v>476</v>
      </c>
      <c r="K21" s="5" t="s">
        <v>53</v>
      </c>
      <c r="L21" s="3" t="s">
        <v>477</v>
      </c>
      <c r="M21" s="3" t="s">
        <v>55</v>
      </c>
      <c r="N21" s="5" t="s">
        <v>56</v>
      </c>
    </row>
    <row r="22" spans="1:14" ht="28.8" x14ac:dyDescent="0.3">
      <c r="A22" s="3" t="s">
        <v>478</v>
      </c>
      <c r="B22" s="3" t="s">
        <v>10</v>
      </c>
      <c r="C22" s="3" t="s">
        <v>11</v>
      </c>
      <c r="D22" s="3" t="s">
        <v>479</v>
      </c>
      <c r="E22" s="5" t="s">
        <v>48</v>
      </c>
      <c r="F22" s="5" t="s">
        <v>49</v>
      </c>
      <c r="G22" s="5" t="s">
        <v>4</v>
      </c>
      <c r="H22" s="3" t="s">
        <v>404</v>
      </c>
      <c r="I22" s="3" t="s">
        <v>480</v>
      </c>
      <c r="J22" s="3" t="s">
        <v>481</v>
      </c>
      <c r="K22" s="5" t="s">
        <v>53</v>
      </c>
      <c r="L22" s="3" t="s">
        <v>482</v>
      </c>
      <c r="M22" s="3" t="s">
        <v>55</v>
      </c>
      <c r="N22" s="5" t="s">
        <v>56</v>
      </c>
    </row>
    <row r="23" spans="1:14" ht="28.8" x14ac:dyDescent="0.3">
      <c r="A23" s="3" t="s">
        <v>483</v>
      </c>
      <c r="B23" s="3" t="s">
        <v>10</v>
      </c>
      <c r="C23" s="3" t="s">
        <v>484</v>
      </c>
      <c r="D23" s="3" t="s">
        <v>485</v>
      </c>
      <c r="E23" s="5" t="s">
        <v>110</v>
      </c>
      <c r="F23" s="5" t="s">
        <v>60</v>
      </c>
      <c r="G23" s="5" t="s">
        <v>4</v>
      </c>
      <c r="H23" s="3" t="s">
        <v>384</v>
      </c>
      <c r="I23" s="3" t="s">
        <v>486</v>
      </c>
      <c r="J23" s="3" t="s">
        <v>487</v>
      </c>
      <c r="K23" s="5" t="s">
        <v>53</v>
      </c>
      <c r="L23" s="3" t="s">
        <v>488</v>
      </c>
      <c r="M23" s="3" t="s">
        <v>55</v>
      </c>
      <c r="N23" s="5" t="s">
        <v>56</v>
      </c>
    </row>
    <row r="24" spans="1:14" ht="28.8" x14ac:dyDescent="0.3">
      <c r="A24" s="3" t="s">
        <v>489</v>
      </c>
      <c r="B24" s="3" t="s">
        <v>10</v>
      </c>
      <c r="C24" s="3" t="s">
        <v>490</v>
      </c>
      <c r="D24" s="3" t="s">
        <v>491</v>
      </c>
      <c r="E24" s="5" t="s">
        <v>110</v>
      </c>
      <c r="F24" s="5" t="s">
        <v>60</v>
      </c>
      <c r="G24" s="5" t="s">
        <v>4</v>
      </c>
      <c r="H24" s="3" t="s">
        <v>492</v>
      </c>
      <c r="I24" s="3" t="s">
        <v>493</v>
      </c>
      <c r="J24" s="3" t="s">
        <v>494</v>
      </c>
      <c r="K24" s="5" t="s">
        <v>53</v>
      </c>
      <c r="L24" s="3" t="s">
        <v>495</v>
      </c>
      <c r="M24" s="3" t="s">
        <v>55</v>
      </c>
      <c r="N24" s="5" t="s">
        <v>56</v>
      </c>
    </row>
    <row r="25" spans="1:14" ht="28.8" x14ac:dyDescent="0.3">
      <c r="A25" s="3" t="s">
        <v>496</v>
      </c>
      <c r="B25" s="3" t="s">
        <v>10</v>
      </c>
      <c r="C25" s="3" t="s">
        <v>497</v>
      </c>
      <c r="D25" s="3" t="s">
        <v>498</v>
      </c>
      <c r="E25" s="5" t="s">
        <v>110</v>
      </c>
      <c r="F25" s="5" t="s">
        <v>111</v>
      </c>
      <c r="G25" s="5" t="s">
        <v>4</v>
      </c>
      <c r="H25" s="3" t="s">
        <v>384</v>
      </c>
      <c r="I25" s="3" t="s">
        <v>499</v>
      </c>
      <c r="J25" s="3" t="s">
        <v>500</v>
      </c>
      <c r="K25" s="5" t="s">
        <v>53</v>
      </c>
      <c r="L25" s="3" t="s">
        <v>501</v>
      </c>
      <c r="M25" s="3" t="s">
        <v>55</v>
      </c>
      <c r="N25" s="5" t="s">
        <v>56</v>
      </c>
    </row>
  </sheetData>
  <conditionalFormatting sqref="E2:E25">
    <cfRule type="cellIs" dxfId="50" priority="1" operator="equal">
      <formula>"High"</formula>
    </cfRule>
    <cfRule type="cellIs" dxfId="49" priority="2" operator="equal">
      <formula>"Medium"</formula>
    </cfRule>
    <cfRule type="cellIs" dxfId="48" priority="3" operator="equal">
      <formula>"Low"</formula>
    </cfRule>
  </conditionalFormatting>
  <conditionalFormatting sqref="G2:G25">
    <cfRule type="cellIs" dxfId="47" priority="4" operator="equal">
      <formula>"Smoke"</formula>
    </cfRule>
    <cfRule type="cellIs" dxfId="46" priority="5" operator="equal">
      <formula>"Regression"</formula>
    </cfRule>
  </conditionalFormatting>
  <conditionalFormatting sqref="N2:N25">
    <cfRule type="cellIs" dxfId="45" priority="6" operator="equal">
      <formula>"Pass"</formula>
    </cfRule>
    <cfRule type="cellIs" dxfId="44" priority="7" operator="equal">
      <formula>"Fail"</formula>
    </cfRule>
    <cfRule type="cellIs" dxfId="43" priority="8" operator="equal">
      <formula>"Blocked"</formula>
    </cfRule>
    <cfRule type="cellIs" dxfId="42" priority="9" operator="equal">
      <formula>"Not Run"</formula>
    </cfRule>
  </conditionalFormatting>
  <dataValidations count="4">
    <dataValidation type="list" allowBlank="1" sqref="N2:N25" xr:uid="{00000000-0002-0000-0300-000000000000}">
      <formula1>"Pass,Fail,Blocked,Not Run"</formula1>
    </dataValidation>
    <dataValidation type="list" sqref="G2:G25" xr:uid="{00000000-0002-0000-0300-000001000000}">
      <formula1>"Smoke,Regression"</formula1>
    </dataValidation>
    <dataValidation type="list" sqref="E2:E25" xr:uid="{00000000-0002-0000-0300-000002000000}">
      <formula1>"High,Medium,Low"</formula1>
    </dataValidation>
    <dataValidation type="list" sqref="K2:K25" xr:uid="{00000000-0002-0000-0300-000003000000}">
      <formula1>"Yes,No"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7"/>
  <sheetViews>
    <sheetView showGridLines="0" topLeftCell="H1" workbookViewId="0">
      <pane ySplit="1" topLeftCell="A8" activePane="bottomLeft" state="frozen"/>
      <selection pane="bottomLeft"/>
    </sheetView>
  </sheetViews>
  <sheetFormatPr defaultRowHeight="14.4" x14ac:dyDescent="0.3"/>
  <cols>
    <col min="1" max="1" width="16" customWidth="1"/>
    <col min="2" max="2" width="14" customWidth="1"/>
    <col min="3" max="3" width="16" customWidth="1"/>
    <col min="4" max="4" width="34" customWidth="1"/>
    <col min="5" max="5" width="11" customWidth="1"/>
    <col min="6" max="7" width="14" customWidth="1"/>
    <col min="8" max="8" width="24" customWidth="1"/>
    <col min="9" max="9" width="55" customWidth="1"/>
    <col min="10" max="10" width="42" customWidth="1"/>
    <col min="11" max="12" width="18" customWidth="1"/>
    <col min="13" max="13" width="24" customWidth="1"/>
    <col min="14" max="14" width="12" customWidth="1"/>
  </cols>
  <sheetData>
    <row r="1" spans="1:14" ht="28.8" x14ac:dyDescent="0.3">
      <c r="A1" s="2" t="s">
        <v>31</v>
      </c>
      <c r="B1" s="2" t="s">
        <v>32</v>
      </c>
      <c r="C1" s="2" t="s">
        <v>33</v>
      </c>
      <c r="D1" s="2" t="s">
        <v>34</v>
      </c>
      <c r="E1" s="2" t="s">
        <v>35</v>
      </c>
      <c r="F1" s="2" t="s">
        <v>36</v>
      </c>
      <c r="G1" s="2" t="s">
        <v>37</v>
      </c>
      <c r="H1" s="2" t="s">
        <v>38</v>
      </c>
      <c r="I1" s="2" t="s">
        <v>39</v>
      </c>
      <c r="J1" s="2" t="s">
        <v>40</v>
      </c>
      <c r="K1" s="2" t="s">
        <v>41</v>
      </c>
      <c r="L1" s="2" t="s">
        <v>42</v>
      </c>
      <c r="M1" s="2" t="s">
        <v>43</v>
      </c>
      <c r="N1" s="2" t="s">
        <v>44</v>
      </c>
    </row>
    <row r="2" spans="1:14" x14ac:dyDescent="0.3">
      <c r="A2" s="3" t="s">
        <v>502</v>
      </c>
      <c r="B2" s="3" t="s">
        <v>11</v>
      </c>
      <c r="C2" s="3" t="s">
        <v>88</v>
      </c>
      <c r="D2" s="3" t="s">
        <v>503</v>
      </c>
      <c r="E2" s="5" t="s">
        <v>48</v>
      </c>
      <c r="F2" s="5" t="s">
        <v>49</v>
      </c>
      <c r="G2" s="5" t="s">
        <v>3</v>
      </c>
      <c r="H2" s="3" t="s">
        <v>61</v>
      </c>
      <c r="I2" s="3" t="s">
        <v>95</v>
      </c>
      <c r="J2" s="3" t="s">
        <v>504</v>
      </c>
      <c r="K2" s="5" t="s">
        <v>53</v>
      </c>
      <c r="L2" s="3" t="s">
        <v>505</v>
      </c>
      <c r="M2" s="3" t="s">
        <v>55</v>
      </c>
      <c r="N2" s="5" t="s">
        <v>56</v>
      </c>
    </row>
    <row r="3" spans="1:14" ht="28.8" x14ac:dyDescent="0.3">
      <c r="A3" s="3" t="s">
        <v>506</v>
      </c>
      <c r="B3" s="3" t="s">
        <v>11</v>
      </c>
      <c r="C3" s="3" t="s">
        <v>507</v>
      </c>
      <c r="D3" s="3" t="s">
        <v>508</v>
      </c>
      <c r="E3" s="5" t="s">
        <v>48</v>
      </c>
      <c r="F3" s="5" t="s">
        <v>49</v>
      </c>
      <c r="G3" s="5" t="s">
        <v>4</v>
      </c>
      <c r="H3" s="3" t="s">
        <v>509</v>
      </c>
      <c r="I3" s="3" t="s">
        <v>510</v>
      </c>
      <c r="J3" s="3" t="s">
        <v>511</v>
      </c>
      <c r="K3" s="5" t="s">
        <v>53</v>
      </c>
      <c r="L3" s="3" t="s">
        <v>512</v>
      </c>
      <c r="M3" s="3" t="s">
        <v>55</v>
      </c>
      <c r="N3" s="5" t="s">
        <v>56</v>
      </c>
    </row>
    <row r="4" spans="1:14" x14ac:dyDescent="0.3">
      <c r="A4" s="3" t="s">
        <v>513</v>
      </c>
      <c r="B4" s="3" t="s">
        <v>11</v>
      </c>
      <c r="C4" s="3" t="s">
        <v>514</v>
      </c>
      <c r="D4" s="3" t="s">
        <v>515</v>
      </c>
      <c r="E4" s="5" t="s">
        <v>48</v>
      </c>
      <c r="F4" s="5" t="s">
        <v>49</v>
      </c>
      <c r="G4" s="5" t="s">
        <v>3</v>
      </c>
      <c r="H4" s="3" t="s">
        <v>516</v>
      </c>
      <c r="I4" s="3" t="s">
        <v>517</v>
      </c>
      <c r="J4" s="3" t="s">
        <v>518</v>
      </c>
      <c r="K4" s="5" t="s">
        <v>53</v>
      </c>
      <c r="L4" s="3" t="s">
        <v>519</v>
      </c>
      <c r="M4" s="3" t="s">
        <v>55</v>
      </c>
      <c r="N4" s="5" t="s">
        <v>56</v>
      </c>
    </row>
    <row r="5" spans="1:14" x14ac:dyDescent="0.3">
      <c r="A5" s="3" t="s">
        <v>520</v>
      </c>
      <c r="B5" s="3" t="s">
        <v>11</v>
      </c>
      <c r="C5" s="3" t="s">
        <v>514</v>
      </c>
      <c r="D5" s="3" t="s">
        <v>521</v>
      </c>
      <c r="E5" s="5" t="s">
        <v>48</v>
      </c>
      <c r="F5" s="5" t="s">
        <v>49</v>
      </c>
      <c r="G5" s="5" t="s">
        <v>4</v>
      </c>
      <c r="H5" s="3" t="s">
        <v>516</v>
      </c>
      <c r="I5" s="3" t="s">
        <v>522</v>
      </c>
      <c r="J5" s="3" t="s">
        <v>523</v>
      </c>
      <c r="K5" s="5" t="s">
        <v>53</v>
      </c>
      <c r="L5" s="3" t="s">
        <v>524</v>
      </c>
      <c r="M5" s="3" t="s">
        <v>55</v>
      </c>
      <c r="N5" s="5" t="s">
        <v>56</v>
      </c>
    </row>
    <row r="6" spans="1:14" x14ac:dyDescent="0.3">
      <c r="A6" s="3" t="s">
        <v>525</v>
      </c>
      <c r="B6" s="3" t="s">
        <v>11</v>
      </c>
      <c r="C6" s="3" t="s">
        <v>514</v>
      </c>
      <c r="D6" s="3" t="s">
        <v>526</v>
      </c>
      <c r="E6" s="5" t="s">
        <v>48</v>
      </c>
      <c r="F6" s="5" t="s">
        <v>49</v>
      </c>
      <c r="G6" s="5" t="s">
        <v>4</v>
      </c>
      <c r="H6" s="3" t="s">
        <v>516</v>
      </c>
      <c r="I6" s="3" t="s">
        <v>527</v>
      </c>
      <c r="J6" s="3" t="s">
        <v>528</v>
      </c>
      <c r="K6" s="5" t="s">
        <v>53</v>
      </c>
      <c r="L6" s="3" t="s">
        <v>529</v>
      </c>
      <c r="M6" s="3" t="s">
        <v>55</v>
      </c>
      <c r="N6" s="5" t="s">
        <v>56</v>
      </c>
    </row>
    <row r="7" spans="1:14" x14ac:dyDescent="0.3">
      <c r="A7" s="3" t="s">
        <v>530</v>
      </c>
      <c r="B7" s="3" t="s">
        <v>11</v>
      </c>
      <c r="C7" s="3" t="s">
        <v>514</v>
      </c>
      <c r="D7" s="3" t="s">
        <v>531</v>
      </c>
      <c r="E7" s="5" t="s">
        <v>48</v>
      </c>
      <c r="F7" s="5" t="s">
        <v>49</v>
      </c>
      <c r="G7" s="5" t="s">
        <v>4</v>
      </c>
      <c r="H7" s="3" t="s">
        <v>516</v>
      </c>
      <c r="I7" s="3" t="s">
        <v>532</v>
      </c>
      <c r="J7" s="3" t="s">
        <v>533</v>
      </c>
      <c r="K7" s="5" t="s">
        <v>53</v>
      </c>
      <c r="L7" s="3" t="s">
        <v>534</v>
      </c>
      <c r="M7" s="3" t="s">
        <v>55</v>
      </c>
      <c r="N7" s="5" t="s">
        <v>56</v>
      </c>
    </row>
    <row r="8" spans="1:14" x14ac:dyDescent="0.3">
      <c r="A8" s="3" t="s">
        <v>535</v>
      </c>
      <c r="B8" s="3" t="s">
        <v>11</v>
      </c>
      <c r="C8" s="3" t="s">
        <v>514</v>
      </c>
      <c r="D8" s="3" t="s">
        <v>536</v>
      </c>
      <c r="E8" s="5" t="s">
        <v>48</v>
      </c>
      <c r="F8" s="5" t="s">
        <v>49</v>
      </c>
      <c r="G8" s="5" t="s">
        <v>4</v>
      </c>
      <c r="H8" s="3" t="s">
        <v>516</v>
      </c>
      <c r="I8" s="3" t="s">
        <v>537</v>
      </c>
      <c r="J8" s="3" t="s">
        <v>538</v>
      </c>
      <c r="K8" s="5" t="s">
        <v>53</v>
      </c>
      <c r="L8" s="3" t="s">
        <v>539</v>
      </c>
      <c r="M8" s="3" t="s">
        <v>55</v>
      </c>
      <c r="N8" s="5" t="s">
        <v>56</v>
      </c>
    </row>
    <row r="9" spans="1:14" ht="28.8" x14ac:dyDescent="0.3">
      <c r="A9" s="3" t="s">
        <v>540</v>
      </c>
      <c r="B9" s="3" t="s">
        <v>11</v>
      </c>
      <c r="C9" s="3" t="s">
        <v>541</v>
      </c>
      <c r="D9" s="3" t="s">
        <v>542</v>
      </c>
      <c r="E9" s="5" t="s">
        <v>67</v>
      </c>
      <c r="F9" s="5" t="s">
        <v>49</v>
      </c>
      <c r="G9" s="5" t="s">
        <v>4</v>
      </c>
      <c r="H9" s="3" t="s">
        <v>384</v>
      </c>
      <c r="I9" s="3" t="s">
        <v>543</v>
      </c>
      <c r="J9" s="3" t="s">
        <v>544</v>
      </c>
      <c r="K9" s="5" t="s">
        <v>53</v>
      </c>
      <c r="L9" s="3" t="s">
        <v>545</v>
      </c>
      <c r="M9" s="3" t="s">
        <v>55</v>
      </c>
      <c r="N9" s="5" t="s">
        <v>56</v>
      </c>
    </row>
    <row r="10" spans="1:14" x14ac:dyDescent="0.3">
      <c r="A10" s="3" t="s">
        <v>546</v>
      </c>
      <c r="B10" s="3" t="s">
        <v>11</v>
      </c>
      <c r="C10" s="3" t="s">
        <v>547</v>
      </c>
      <c r="D10" s="3" t="s">
        <v>548</v>
      </c>
      <c r="E10" s="5" t="s">
        <v>67</v>
      </c>
      <c r="F10" s="5" t="s">
        <v>60</v>
      </c>
      <c r="G10" s="5" t="s">
        <v>4</v>
      </c>
      <c r="H10" s="3" t="s">
        <v>549</v>
      </c>
      <c r="I10" s="3" t="s">
        <v>550</v>
      </c>
      <c r="J10" s="3" t="s">
        <v>551</v>
      </c>
      <c r="K10" s="5" t="s">
        <v>53</v>
      </c>
      <c r="L10" s="3" t="s">
        <v>552</v>
      </c>
      <c r="M10" s="3" t="s">
        <v>55</v>
      </c>
      <c r="N10" s="5" t="s">
        <v>56</v>
      </c>
    </row>
    <row r="11" spans="1:14" ht="28.8" x14ac:dyDescent="0.3">
      <c r="A11" s="3" t="s">
        <v>553</v>
      </c>
      <c r="B11" s="3" t="s">
        <v>11</v>
      </c>
      <c r="C11" s="3" t="s">
        <v>547</v>
      </c>
      <c r="D11" s="3" t="s">
        <v>554</v>
      </c>
      <c r="E11" s="5" t="s">
        <v>48</v>
      </c>
      <c r="F11" s="5" t="s">
        <v>49</v>
      </c>
      <c r="G11" s="5" t="s">
        <v>4</v>
      </c>
      <c r="H11" s="3" t="s">
        <v>555</v>
      </c>
      <c r="I11" s="3" t="s">
        <v>556</v>
      </c>
      <c r="J11" s="3" t="s">
        <v>557</v>
      </c>
      <c r="K11" s="5" t="s">
        <v>53</v>
      </c>
      <c r="L11" s="3" t="s">
        <v>558</v>
      </c>
      <c r="M11" s="3" t="s">
        <v>55</v>
      </c>
      <c r="N11" s="5" t="s">
        <v>56</v>
      </c>
    </row>
    <row r="12" spans="1:14" ht="28.8" x14ac:dyDescent="0.3">
      <c r="A12" s="3" t="s">
        <v>559</v>
      </c>
      <c r="B12" s="3" t="s">
        <v>11</v>
      </c>
      <c r="C12" s="3" t="s">
        <v>547</v>
      </c>
      <c r="D12" s="3" t="s">
        <v>560</v>
      </c>
      <c r="E12" s="5" t="s">
        <v>48</v>
      </c>
      <c r="F12" s="5" t="s">
        <v>49</v>
      </c>
      <c r="G12" s="5" t="s">
        <v>4</v>
      </c>
      <c r="H12" s="3" t="s">
        <v>561</v>
      </c>
      <c r="I12" s="3" t="s">
        <v>562</v>
      </c>
      <c r="J12" s="3" t="s">
        <v>563</v>
      </c>
      <c r="K12" s="5" t="s">
        <v>53</v>
      </c>
      <c r="L12" s="3" t="s">
        <v>564</v>
      </c>
      <c r="M12" s="3" t="s">
        <v>55</v>
      </c>
      <c r="N12" s="5" t="s">
        <v>56</v>
      </c>
    </row>
    <row r="13" spans="1:14" ht="28.8" x14ac:dyDescent="0.3">
      <c r="A13" s="3" t="s">
        <v>565</v>
      </c>
      <c r="B13" s="3" t="s">
        <v>11</v>
      </c>
      <c r="C13" s="3" t="s">
        <v>566</v>
      </c>
      <c r="D13" s="3" t="s">
        <v>567</v>
      </c>
      <c r="E13" s="5" t="s">
        <v>67</v>
      </c>
      <c r="F13" s="5" t="s">
        <v>149</v>
      </c>
      <c r="G13" s="5" t="s">
        <v>4</v>
      </c>
      <c r="H13" s="3" t="s">
        <v>516</v>
      </c>
      <c r="I13" s="3" t="s">
        <v>568</v>
      </c>
      <c r="J13" s="3" t="s">
        <v>569</v>
      </c>
      <c r="K13" s="5" t="s">
        <v>53</v>
      </c>
      <c r="L13" s="3" t="s">
        <v>570</v>
      </c>
      <c r="M13" s="3" t="s">
        <v>55</v>
      </c>
      <c r="N13" s="5" t="s">
        <v>56</v>
      </c>
    </row>
    <row r="14" spans="1:14" ht="28.8" x14ac:dyDescent="0.3">
      <c r="A14" s="3" t="s">
        <v>571</v>
      </c>
      <c r="B14" s="3" t="s">
        <v>11</v>
      </c>
      <c r="C14" s="3" t="s">
        <v>88</v>
      </c>
      <c r="D14" s="3" t="s">
        <v>572</v>
      </c>
      <c r="E14" s="5" t="s">
        <v>67</v>
      </c>
      <c r="F14" s="5" t="s">
        <v>149</v>
      </c>
      <c r="G14" s="5" t="s">
        <v>4</v>
      </c>
      <c r="H14" s="3" t="s">
        <v>573</v>
      </c>
      <c r="I14" s="3" t="s">
        <v>574</v>
      </c>
      <c r="J14" s="3" t="s">
        <v>575</v>
      </c>
      <c r="K14" s="5" t="s">
        <v>53</v>
      </c>
      <c r="L14" s="3" t="s">
        <v>576</v>
      </c>
      <c r="M14" s="3" t="s">
        <v>55</v>
      </c>
      <c r="N14" s="5" t="s">
        <v>56</v>
      </c>
    </row>
    <row r="15" spans="1:14" ht="28.8" x14ac:dyDescent="0.3">
      <c r="A15" s="3" t="s">
        <v>577</v>
      </c>
      <c r="B15" s="3" t="s">
        <v>11</v>
      </c>
      <c r="C15" s="3" t="s">
        <v>578</v>
      </c>
      <c r="D15" s="3" t="s">
        <v>579</v>
      </c>
      <c r="E15" s="5" t="s">
        <v>110</v>
      </c>
      <c r="F15" s="5" t="s">
        <v>111</v>
      </c>
      <c r="G15" s="5" t="s">
        <v>4</v>
      </c>
      <c r="H15" s="3" t="s">
        <v>580</v>
      </c>
      <c r="I15" s="3" t="s">
        <v>581</v>
      </c>
      <c r="J15" s="3" t="s">
        <v>582</v>
      </c>
      <c r="K15" s="5" t="s">
        <v>53</v>
      </c>
      <c r="L15" s="3" t="s">
        <v>583</v>
      </c>
      <c r="M15" s="3" t="s">
        <v>55</v>
      </c>
      <c r="N15" s="5" t="s">
        <v>56</v>
      </c>
    </row>
    <row r="16" spans="1:14" ht="28.8" x14ac:dyDescent="0.3">
      <c r="A16" s="3" t="s">
        <v>584</v>
      </c>
      <c r="B16" s="3" t="s">
        <v>11</v>
      </c>
      <c r="C16" s="3" t="s">
        <v>585</v>
      </c>
      <c r="D16" s="3" t="s">
        <v>586</v>
      </c>
      <c r="E16" s="5" t="s">
        <v>48</v>
      </c>
      <c r="F16" s="5" t="s">
        <v>60</v>
      </c>
      <c r="G16" s="5" t="s">
        <v>3</v>
      </c>
      <c r="H16" s="3" t="s">
        <v>587</v>
      </c>
      <c r="I16" s="3" t="s">
        <v>517</v>
      </c>
      <c r="J16" s="3" t="s">
        <v>588</v>
      </c>
      <c r="K16" s="5" t="s">
        <v>53</v>
      </c>
      <c r="L16" s="3" t="s">
        <v>589</v>
      </c>
      <c r="M16" s="3" t="s">
        <v>55</v>
      </c>
      <c r="N16" s="5" t="s">
        <v>56</v>
      </c>
    </row>
    <row r="17" spans="1:14" ht="28.8" x14ac:dyDescent="0.3">
      <c r="A17" s="3" t="s">
        <v>590</v>
      </c>
      <c r="B17" s="3" t="s">
        <v>11</v>
      </c>
      <c r="C17" s="3" t="s">
        <v>585</v>
      </c>
      <c r="D17" s="3" t="s">
        <v>591</v>
      </c>
      <c r="E17" s="5" t="s">
        <v>48</v>
      </c>
      <c r="F17" s="5" t="s">
        <v>49</v>
      </c>
      <c r="G17" s="5" t="s">
        <v>4</v>
      </c>
      <c r="H17" s="3" t="s">
        <v>587</v>
      </c>
      <c r="I17" s="3" t="s">
        <v>592</v>
      </c>
      <c r="J17" s="3" t="s">
        <v>593</v>
      </c>
      <c r="K17" s="5" t="s">
        <v>53</v>
      </c>
      <c r="L17" s="3" t="s">
        <v>594</v>
      </c>
      <c r="M17" s="3" t="s">
        <v>55</v>
      </c>
      <c r="N17" s="5" t="s">
        <v>56</v>
      </c>
    </row>
  </sheetData>
  <conditionalFormatting sqref="E2:E17">
    <cfRule type="cellIs" dxfId="41" priority="1" operator="equal">
      <formula>"High"</formula>
    </cfRule>
    <cfRule type="cellIs" dxfId="40" priority="2" operator="equal">
      <formula>"Medium"</formula>
    </cfRule>
    <cfRule type="cellIs" dxfId="39" priority="3" operator="equal">
      <formula>"Low"</formula>
    </cfRule>
  </conditionalFormatting>
  <conditionalFormatting sqref="G2:G17">
    <cfRule type="cellIs" dxfId="38" priority="4" operator="equal">
      <formula>"Smoke"</formula>
    </cfRule>
    <cfRule type="cellIs" dxfId="37" priority="5" operator="equal">
      <formula>"Regression"</formula>
    </cfRule>
  </conditionalFormatting>
  <conditionalFormatting sqref="N2:N17">
    <cfRule type="cellIs" dxfId="36" priority="6" operator="equal">
      <formula>"Pass"</formula>
    </cfRule>
    <cfRule type="cellIs" dxfId="35" priority="7" operator="equal">
      <formula>"Fail"</formula>
    </cfRule>
    <cfRule type="cellIs" dxfId="34" priority="8" operator="equal">
      <formula>"Blocked"</formula>
    </cfRule>
    <cfRule type="cellIs" dxfId="33" priority="9" operator="equal">
      <formula>"Not Run"</formula>
    </cfRule>
  </conditionalFormatting>
  <dataValidations count="4">
    <dataValidation type="list" allowBlank="1" sqref="N2:N17" xr:uid="{00000000-0002-0000-0400-000000000000}">
      <formula1>"Pass,Fail,Blocked,Not Run"</formula1>
    </dataValidation>
    <dataValidation type="list" sqref="G2:G17" xr:uid="{00000000-0002-0000-0400-000001000000}">
      <formula1>"Smoke,Regression"</formula1>
    </dataValidation>
    <dataValidation type="list" sqref="E2:E17" xr:uid="{00000000-0002-0000-0400-000002000000}">
      <formula1>"High,Medium,Low"</formula1>
    </dataValidation>
    <dataValidation type="list" sqref="K2:K17" xr:uid="{00000000-0002-0000-0400-000003000000}">
      <formula1>"Yes,No"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3"/>
  <sheetViews>
    <sheetView showGridLines="0" topLeftCell="H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6" customWidth="1"/>
    <col min="2" max="2" width="14" customWidth="1"/>
    <col min="3" max="3" width="16" customWidth="1"/>
    <col min="4" max="4" width="34" customWidth="1"/>
    <col min="5" max="5" width="11" customWidth="1"/>
    <col min="6" max="7" width="14" customWidth="1"/>
    <col min="8" max="8" width="24" customWidth="1"/>
    <col min="9" max="9" width="55" customWidth="1"/>
    <col min="10" max="10" width="42" customWidth="1"/>
    <col min="11" max="12" width="18" customWidth="1"/>
    <col min="13" max="13" width="24" customWidth="1"/>
    <col min="14" max="14" width="12" customWidth="1"/>
  </cols>
  <sheetData>
    <row r="1" spans="1:14" ht="28.8" x14ac:dyDescent="0.3">
      <c r="A1" s="2" t="s">
        <v>31</v>
      </c>
      <c r="B1" s="2" t="s">
        <v>32</v>
      </c>
      <c r="C1" s="2" t="s">
        <v>33</v>
      </c>
      <c r="D1" s="2" t="s">
        <v>34</v>
      </c>
      <c r="E1" s="2" t="s">
        <v>35</v>
      </c>
      <c r="F1" s="2" t="s">
        <v>36</v>
      </c>
      <c r="G1" s="2" t="s">
        <v>37</v>
      </c>
      <c r="H1" s="2" t="s">
        <v>38</v>
      </c>
      <c r="I1" s="2" t="s">
        <v>39</v>
      </c>
      <c r="J1" s="2" t="s">
        <v>40</v>
      </c>
      <c r="K1" s="2" t="s">
        <v>41</v>
      </c>
      <c r="L1" s="2" t="s">
        <v>42</v>
      </c>
      <c r="M1" s="2" t="s">
        <v>43</v>
      </c>
      <c r="N1" s="2" t="s">
        <v>44</v>
      </c>
    </row>
    <row r="2" spans="1:14" ht="28.8" x14ac:dyDescent="0.3">
      <c r="A2" s="3" t="s">
        <v>595</v>
      </c>
      <c r="B2" s="3" t="s">
        <v>12</v>
      </c>
      <c r="C2" s="3" t="s">
        <v>596</v>
      </c>
      <c r="D2" s="3" t="s">
        <v>597</v>
      </c>
      <c r="E2" s="5" t="s">
        <v>48</v>
      </c>
      <c r="F2" s="5" t="s">
        <v>190</v>
      </c>
      <c r="G2" s="5" t="s">
        <v>4</v>
      </c>
      <c r="H2" s="3" t="s">
        <v>598</v>
      </c>
      <c r="I2" s="3" t="s">
        <v>599</v>
      </c>
      <c r="J2" s="3" t="s">
        <v>600</v>
      </c>
      <c r="K2" s="5" t="s">
        <v>53</v>
      </c>
      <c r="L2" s="3" t="s">
        <v>601</v>
      </c>
      <c r="M2" s="3" t="s">
        <v>55</v>
      </c>
      <c r="N2" s="5" t="s">
        <v>56</v>
      </c>
    </row>
    <row r="3" spans="1:14" ht="28.8" x14ac:dyDescent="0.3">
      <c r="A3" s="3" t="s">
        <v>602</v>
      </c>
      <c r="B3" s="3" t="s">
        <v>12</v>
      </c>
      <c r="C3" s="3" t="s">
        <v>603</v>
      </c>
      <c r="D3" s="3" t="s">
        <v>604</v>
      </c>
      <c r="E3" s="5" t="s">
        <v>48</v>
      </c>
      <c r="F3" s="5" t="s">
        <v>49</v>
      </c>
      <c r="G3" s="5" t="s">
        <v>4</v>
      </c>
      <c r="H3" s="3" t="s">
        <v>605</v>
      </c>
      <c r="I3" s="3" t="s">
        <v>592</v>
      </c>
      <c r="J3" s="3" t="s">
        <v>606</v>
      </c>
      <c r="K3" s="5" t="s">
        <v>53</v>
      </c>
      <c r="L3" s="3" t="s">
        <v>607</v>
      </c>
      <c r="M3" s="3" t="s">
        <v>55</v>
      </c>
      <c r="N3" s="5" t="s">
        <v>56</v>
      </c>
    </row>
    <row r="4" spans="1:14" ht="28.8" x14ac:dyDescent="0.3">
      <c r="A4" s="3" t="s">
        <v>608</v>
      </c>
      <c r="B4" s="3" t="s">
        <v>12</v>
      </c>
      <c r="C4" s="3" t="s">
        <v>603</v>
      </c>
      <c r="D4" s="3" t="s">
        <v>609</v>
      </c>
      <c r="E4" s="5" t="s">
        <v>48</v>
      </c>
      <c r="F4" s="5" t="s">
        <v>49</v>
      </c>
      <c r="G4" s="5" t="s">
        <v>3</v>
      </c>
      <c r="H4" s="3" t="s">
        <v>610</v>
      </c>
      <c r="I4" s="3" t="s">
        <v>592</v>
      </c>
      <c r="J4" s="3" t="s">
        <v>611</v>
      </c>
      <c r="K4" s="5" t="s">
        <v>53</v>
      </c>
      <c r="L4" s="3" t="s">
        <v>612</v>
      </c>
      <c r="M4" s="3" t="s">
        <v>55</v>
      </c>
      <c r="N4" s="5" t="s">
        <v>56</v>
      </c>
    </row>
    <row r="5" spans="1:14" ht="28.8" x14ac:dyDescent="0.3">
      <c r="A5" s="3" t="s">
        <v>613</v>
      </c>
      <c r="B5" s="3" t="s">
        <v>12</v>
      </c>
      <c r="C5" s="3" t="s">
        <v>614</v>
      </c>
      <c r="D5" s="3" t="s">
        <v>615</v>
      </c>
      <c r="E5" s="5" t="s">
        <v>48</v>
      </c>
      <c r="F5" s="5" t="s">
        <v>60</v>
      </c>
      <c r="G5" s="5" t="s">
        <v>3</v>
      </c>
      <c r="H5" s="3" t="s">
        <v>616</v>
      </c>
      <c r="I5" s="3" t="s">
        <v>617</v>
      </c>
      <c r="J5" s="3" t="s">
        <v>618</v>
      </c>
      <c r="K5" s="5" t="s">
        <v>53</v>
      </c>
      <c r="L5" s="3" t="s">
        <v>619</v>
      </c>
      <c r="M5" s="3" t="s">
        <v>55</v>
      </c>
      <c r="N5" s="5" t="s">
        <v>56</v>
      </c>
    </row>
    <row r="6" spans="1:14" ht="28.8" x14ac:dyDescent="0.3">
      <c r="A6" s="3" t="s">
        <v>620</v>
      </c>
      <c r="B6" s="3" t="s">
        <v>12</v>
      </c>
      <c r="C6" s="3" t="s">
        <v>621</v>
      </c>
      <c r="D6" s="3" t="s">
        <v>622</v>
      </c>
      <c r="E6" s="5" t="s">
        <v>48</v>
      </c>
      <c r="F6" s="5" t="s">
        <v>60</v>
      </c>
      <c r="G6" s="5" t="s">
        <v>4</v>
      </c>
      <c r="H6" s="3" t="s">
        <v>616</v>
      </c>
      <c r="I6" s="3" t="s">
        <v>617</v>
      </c>
      <c r="J6" s="3" t="s">
        <v>623</v>
      </c>
      <c r="K6" s="5" t="s">
        <v>53</v>
      </c>
      <c r="L6" s="3" t="s">
        <v>624</v>
      </c>
      <c r="M6" s="3" t="s">
        <v>55</v>
      </c>
      <c r="N6" s="5" t="s">
        <v>56</v>
      </c>
    </row>
    <row r="7" spans="1:14" ht="28.8" x14ac:dyDescent="0.3">
      <c r="A7" s="3" t="s">
        <v>625</v>
      </c>
      <c r="B7" s="3" t="s">
        <v>12</v>
      </c>
      <c r="C7" s="3" t="s">
        <v>621</v>
      </c>
      <c r="D7" s="3" t="s">
        <v>626</v>
      </c>
      <c r="E7" s="5" t="s">
        <v>48</v>
      </c>
      <c r="F7" s="5" t="s">
        <v>60</v>
      </c>
      <c r="G7" s="5" t="s">
        <v>4</v>
      </c>
      <c r="H7" s="3" t="s">
        <v>616</v>
      </c>
      <c r="I7" s="3" t="s">
        <v>627</v>
      </c>
      <c r="J7" s="3" t="s">
        <v>628</v>
      </c>
      <c r="K7" s="5" t="s">
        <v>53</v>
      </c>
      <c r="L7" s="3" t="s">
        <v>629</v>
      </c>
      <c r="M7" s="3" t="s">
        <v>55</v>
      </c>
      <c r="N7" s="5" t="s">
        <v>56</v>
      </c>
    </row>
    <row r="8" spans="1:14" ht="28.8" x14ac:dyDescent="0.3">
      <c r="A8" s="3" t="s">
        <v>630</v>
      </c>
      <c r="B8" s="3" t="s">
        <v>12</v>
      </c>
      <c r="C8" s="3" t="s">
        <v>621</v>
      </c>
      <c r="D8" s="3" t="s">
        <v>631</v>
      </c>
      <c r="E8" s="5" t="s">
        <v>48</v>
      </c>
      <c r="F8" s="5" t="s">
        <v>60</v>
      </c>
      <c r="G8" s="5" t="s">
        <v>4</v>
      </c>
      <c r="H8" s="3" t="s">
        <v>616</v>
      </c>
      <c r="I8" s="3" t="s">
        <v>627</v>
      </c>
      <c r="J8" s="3" t="s">
        <v>632</v>
      </c>
      <c r="K8" s="5" t="s">
        <v>53</v>
      </c>
      <c r="L8" s="3" t="s">
        <v>633</v>
      </c>
      <c r="M8" s="3" t="s">
        <v>55</v>
      </c>
      <c r="N8" s="5" t="s">
        <v>56</v>
      </c>
    </row>
    <row r="9" spans="1:14" ht="28.8" x14ac:dyDescent="0.3">
      <c r="A9" s="3" t="s">
        <v>634</v>
      </c>
      <c r="B9" s="3" t="s">
        <v>12</v>
      </c>
      <c r="C9" s="3" t="s">
        <v>635</v>
      </c>
      <c r="D9" s="3" t="s">
        <v>636</v>
      </c>
      <c r="E9" s="5" t="s">
        <v>67</v>
      </c>
      <c r="F9" s="5" t="s">
        <v>60</v>
      </c>
      <c r="G9" s="5" t="s">
        <v>4</v>
      </c>
      <c r="H9" s="3" t="s">
        <v>616</v>
      </c>
      <c r="I9" s="3" t="s">
        <v>637</v>
      </c>
      <c r="J9" s="3" t="s">
        <v>636</v>
      </c>
      <c r="K9" s="5" t="s">
        <v>53</v>
      </c>
      <c r="L9" s="3" t="s">
        <v>638</v>
      </c>
      <c r="M9" s="3" t="s">
        <v>55</v>
      </c>
      <c r="N9" s="5" t="s">
        <v>56</v>
      </c>
    </row>
    <row r="10" spans="1:14" ht="28.8" x14ac:dyDescent="0.3">
      <c r="A10" s="3" t="s">
        <v>639</v>
      </c>
      <c r="B10" s="3" t="s">
        <v>12</v>
      </c>
      <c r="C10" s="3" t="s">
        <v>635</v>
      </c>
      <c r="D10" s="3" t="s">
        <v>640</v>
      </c>
      <c r="E10" s="5" t="s">
        <v>67</v>
      </c>
      <c r="F10" s="5" t="s">
        <v>49</v>
      </c>
      <c r="G10" s="5" t="s">
        <v>4</v>
      </c>
      <c r="H10" s="3" t="s">
        <v>616</v>
      </c>
      <c r="I10" s="3" t="s">
        <v>641</v>
      </c>
      <c r="J10" s="3" t="s">
        <v>642</v>
      </c>
      <c r="K10" s="5" t="s">
        <v>53</v>
      </c>
      <c r="L10" s="3" t="s">
        <v>643</v>
      </c>
      <c r="M10" s="3" t="s">
        <v>55</v>
      </c>
      <c r="N10" s="5" t="s">
        <v>56</v>
      </c>
    </row>
    <row r="11" spans="1:14" ht="28.8" x14ac:dyDescent="0.3">
      <c r="A11" s="3" t="s">
        <v>644</v>
      </c>
      <c r="B11" s="3" t="s">
        <v>12</v>
      </c>
      <c r="C11" s="3" t="s">
        <v>645</v>
      </c>
      <c r="D11" s="3" t="s">
        <v>646</v>
      </c>
      <c r="E11" s="5" t="s">
        <v>48</v>
      </c>
      <c r="F11" s="5" t="s">
        <v>60</v>
      </c>
      <c r="G11" s="5" t="s">
        <v>3</v>
      </c>
      <c r="H11" s="3" t="s">
        <v>616</v>
      </c>
      <c r="I11" s="3" t="s">
        <v>647</v>
      </c>
      <c r="J11" s="3" t="s">
        <v>646</v>
      </c>
      <c r="K11" s="5" t="s">
        <v>53</v>
      </c>
      <c r="L11" s="3" t="s">
        <v>648</v>
      </c>
      <c r="M11" s="3" t="s">
        <v>55</v>
      </c>
      <c r="N11" s="5" t="s">
        <v>56</v>
      </c>
    </row>
    <row r="12" spans="1:14" ht="28.8" x14ac:dyDescent="0.3">
      <c r="A12" s="3" t="s">
        <v>649</v>
      </c>
      <c r="B12" s="3" t="s">
        <v>12</v>
      </c>
      <c r="C12" s="3" t="s">
        <v>645</v>
      </c>
      <c r="D12" s="3" t="s">
        <v>650</v>
      </c>
      <c r="E12" s="5" t="s">
        <v>48</v>
      </c>
      <c r="F12" s="5" t="s">
        <v>49</v>
      </c>
      <c r="G12" s="5" t="s">
        <v>4</v>
      </c>
      <c r="H12" s="3" t="s">
        <v>616</v>
      </c>
      <c r="I12" s="3" t="s">
        <v>651</v>
      </c>
      <c r="J12" s="3" t="s">
        <v>652</v>
      </c>
      <c r="K12" s="5" t="s">
        <v>53</v>
      </c>
      <c r="L12" s="3" t="s">
        <v>653</v>
      </c>
      <c r="M12" s="3" t="s">
        <v>55</v>
      </c>
      <c r="N12" s="5" t="s">
        <v>56</v>
      </c>
    </row>
    <row r="13" spans="1:14" ht="28.8" x14ac:dyDescent="0.3">
      <c r="A13" s="3" t="s">
        <v>654</v>
      </c>
      <c r="B13" s="3" t="s">
        <v>12</v>
      </c>
      <c r="C13" s="3" t="s">
        <v>497</v>
      </c>
      <c r="D13" s="3" t="s">
        <v>655</v>
      </c>
      <c r="E13" s="5" t="s">
        <v>110</v>
      </c>
      <c r="F13" s="5" t="s">
        <v>111</v>
      </c>
      <c r="G13" s="5" t="s">
        <v>4</v>
      </c>
      <c r="H13" s="3" t="s">
        <v>616</v>
      </c>
      <c r="I13" s="3" t="s">
        <v>656</v>
      </c>
      <c r="J13" s="3" t="s">
        <v>657</v>
      </c>
      <c r="K13" s="5" t="s">
        <v>53</v>
      </c>
      <c r="L13" s="3" t="s">
        <v>658</v>
      </c>
      <c r="M13" s="3" t="s">
        <v>55</v>
      </c>
      <c r="N13" s="5" t="s">
        <v>56</v>
      </c>
    </row>
  </sheetData>
  <conditionalFormatting sqref="E2:E13">
    <cfRule type="cellIs" dxfId="32" priority="1" operator="equal">
      <formula>"High"</formula>
    </cfRule>
    <cfRule type="cellIs" dxfId="31" priority="2" operator="equal">
      <formula>"Medium"</formula>
    </cfRule>
    <cfRule type="cellIs" dxfId="30" priority="3" operator="equal">
      <formula>"Low"</formula>
    </cfRule>
  </conditionalFormatting>
  <conditionalFormatting sqref="G2:G13">
    <cfRule type="cellIs" dxfId="29" priority="4" operator="equal">
      <formula>"Smoke"</formula>
    </cfRule>
    <cfRule type="cellIs" dxfId="28" priority="5" operator="equal">
      <formula>"Regression"</formula>
    </cfRule>
  </conditionalFormatting>
  <conditionalFormatting sqref="N2:N13">
    <cfRule type="cellIs" dxfId="27" priority="6" operator="equal">
      <formula>"Pass"</formula>
    </cfRule>
    <cfRule type="cellIs" dxfId="26" priority="7" operator="equal">
      <formula>"Fail"</formula>
    </cfRule>
    <cfRule type="cellIs" dxfId="25" priority="8" operator="equal">
      <formula>"Blocked"</formula>
    </cfRule>
    <cfRule type="cellIs" dxfId="24" priority="9" operator="equal">
      <formula>"Not Run"</formula>
    </cfRule>
  </conditionalFormatting>
  <dataValidations count="4">
    <dataValidation type="list" allowBlank="1" sqref="N2:N13" xr:uid="{00000000-0002-0000-0500-000000000000}">
      <formula1>"Pass,Fail,Blocked,Not Run"</formula1>
    </dataValidation>
    <dataValidation type="list" sqref="G2:G13" xr:uid="{00000000-0002-0000-0500-000001000000}">
      <formula1>"Smoke,Regression"</formula1>
    </dataValidation>
    <dataValidation type="list" sqref="E2:E13" xr:uid="{00000000-0002-0000-0500-000002000000}">
      <formula1>"High,Medium,Low"</formula1>
    </dataValidation>
    <dataValidation type="list" sqref="K2:K13" xr:uid="{00000000-0002-0000-0500-000003000000}">
      <formula1>"Yes,No"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13"/>
  <sheetViews>
    <sheetView showGridLines="0" topLeftCell="G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6" customWidth="1"/>
    <col min="2" max="2" width="14" customWidth="1"/>
    <col min="3" max="3" width="16" customWidth="1"/>
    <col min="4" max="4" width="34" customWidth="1"/>
    <col min="5" max="5" width="11" customWidth="1"/>
    <col min="6" max="7" width="14" customWidth="1"/>
    <col min="8" max="8" width="24" customWidth="1"/>
    <col min="9" max="9" width="55" customWidth="1"/>
    <col min="10" max="10" width="42" customWidth="1"/>
    <col min="11" max="12" width="18" customWidth="1"/>
    <col min="13" max="13" width="24" customWidth="1"/>
    <col min="14" max="14" width="12" customWidth="1"/>
  </cols>
  <sheetData>
    <row r="1" spans="1:14" ht="28.8" x14ac:dyDescent="0.3">
      <c r="A1" s="2" t="s">
        <v>31</v>
      </c>
      <c r="B1" s="2" t="s">
        <v>32</v>
      </c>
      <c r="C1" s="2" t="s">
        <v>33</v>
      </c>
      <c r="D1" s="2" t="s">
        <v>34</v>
      </c>
      <c r="E1" s="2" t="s">
        <v>35</v>
      </c>
      <c r="F1" s="2" t="s">
        <v>36</v>
      </c>
      <c r="G1" s="2" t="s">
        <v>37</v>
      </c>
      <c r="H1" s="2" t="s">
        <v>38</v>
      </c>
      <c r="I1" s="2" t="s">
        <v>39</v>
      </c>
      <c r="J1" s="2" t="s">
        <v>40</v>
      </c>
      <c r="K1" s="2" t="s">
        <v>41</v>
      </c>
      <c r="L1" s="2" t="s">
        <v>42</v>
      </c>
      <c r="M1" s="2" t="s">
        <v>43</v>
      </c>
      <c r="N1" s="2" t="s">
        <v>44</v>
      </c>
    </row>
    <row r="2" spans="1:14" ht="28.8" x14ac:dyDescent="0.3">
      <c r="A2" s="3" t="s">
        <v>659</v>
      </c>
      <c r="B2" s="3" t="s">
        <v>660</v>
      </c>
      <c r="C2" s="3" t="s">
        <v>88</v>
      </c>
      <c r="D2" s="3" t="s">
        <v>661</v>
      </c>
      <c r="E2" s="5" t="s">
        <v>48</v>
      </c>
      <c r="F2" s="5" t="s">
        <v>49</v>
      </c>
      <c r="G2" s="5" t="s">
        <v>3</v>
      </c>
      <c r="H2" s="3" t="s">
        <v>61</v>
      </c>
      <c r="I2" s="3" t="s">
        <v>105</v>
      </c>
      <c r="J2" s="3" t="s">
        <v>661</v>
      </c>
      <c r="K2" s="5" t="s">
        <v>53</v>
      </c>
      <c r="L2" s="3" t="s">
        <v>662</v>
      </c>
      <c r="M2" s="3" t="s">
        <v>55</v>
      </c>
      <c r="N2" s="5" t="s">
        <v>56</v>
      </c>
    </row>
    <row r="3" spans="1:14" ht="28.8" x14ac:dyDescent="0.3">
      <c r="A3" s="3" t="s">
        <v>663</v>
      </c>
      <c r="B3" s="3" t="s">
        <v>660</v>
      </c>
      <c r="C3" s="3" t="s">
        <v>60</v>
      </c>
      <c r="D3" s="3" t="s">
        <v>664</v>
      </c>
      <c r="E3" s="5" t="s">
        <v>67</v>
      </c>
      <c r="F3" s="5" t="s">
        <v>60</v>
      </c>
      <c r="G3" s="5" t="s">
        <v>4</v>
      </c>
      <c r="H3" s="3" t="s">
        <v>665</v>
      </c>
      <c r="I3" s="3" t="s">
        <v>666</v>
      </c>
      <c r="J3" s="3" t="s">
        <v>664</v>
      </c>
      <c r="K3" s="5" t="s">
        <v>53</v>
      </c>
      <c r="L3" s="3" t="s">
        <v>667</v>
      </c>
      <c r="M3" s="3" t="s">
        <v>55</v>
      </c>
      <c r="N3" s="5" t="s">
        <v>56</v>
      </c>
    </row>
    <row r="4" spans="1:14" ht="28.8" x14ac:dyDescent="0.3">
      <c r="A4" s="3" t="s">
        <v>668</v>
      </c>
      <c r="B4" s="3" t="s">
        <v>660</v>
      </c>
      <c r="C4" s="3" t="s">
        <v>60</v>
      </c>
      <c r="D4" s="3" t="s">
        <v>669</v>
      </c>
      <c r="E4" s="5" t="s">
        <v>67</v>
      </c>
      <c r="F4" s="5" t="s">
        <v>60</v>
      </c>
      <c r="G4" s="5" t="s">
        <v>4</v>
      </c>
      <c r="H4" s="3" t="s">
        <v>665</v>
      </c>
      <c r="I4" s="3" t="s">
        <v>666</v>
      </c>
      <c r="J4" s="3" t="s">
        <v>669</v>
      </c>
      <c r="K4" s="5" t="s">
        <v>53</v>
      </c>
      <c r="L4" s="3" t="s">
        <v>670</v>
      </c>
      <c r="M4" s="3" t="s">
        <v>55</v>
      </c>
      <c r="N4" s="5" t="s">
        <v>56</v>
      </c>
    </row>
    <row r="5" spans="1:14" ht="28.8" x14ac:dyDescent="0.3">
      <c r="A5" s="3" t="s">
        <v>671</v>
      </c>
      <c r="B5" s="3" t="s">
        <v>660</v>
      </c>
      <c r="C5" s="3" t="s">
        <v>60</v>
      </c>
      <c r="D5" s="3" t="s">
        <v>672</v>
      </c>
      <c r="E5" s="5" t="s">
        <v>110</v>
      </c>
      <c r="F5" s="5" t="s">
        <v>60</v>
      </c>
      <c r="G5" s="5" t="s">
        <v>4</v>
      </c>
      <c r="H5" s="3" t="s">
        <v>665</v>
      </c>
      <c r="I5" s="3" t="s">
        <v>666</v>
      </c>
      <c r="J5" s="3" t="s">
        <v>672</v>
      </c>
      <c r="K5" s="5" t="s">
        <v>53</v>
      </c>
      <c r="L5" s="3" t="s">
        <v>673</v>
      </c>
      <c r="M5" s="3" t="s">
        <v>55</v>
      </c>
      <c r="N5" s="5" t="s">
        <v>56</v>
      </c>
    </row>
    <row r="6" spans="1:14" ht="28.8" x14ac:dyDescent="0.3">
      <c r="A6" s="3" t="s">
        <v>674</v>
      </c>
      <c r="B6" s="3" t="s">
        <v>660</v>
      </c>
      <c r="C6" s="3" t="s">
        <v>60</v>
      </c>
      <c r="D6" s="3" t="s">
        <v>675</v>
      </c>
      <c r="E6" s="5" t="s">
        <v>67</v>
      </c>
      <c r="F6" s="5" t="s">
        <v>60</v>
      </c>
      <c r="G6" s="5" t="s">
        <v>4</v>
      </c>
      <c r="H6" s="3" t="s">
        <v>665</v>
      </c>
      <c r="I6" s="3" t="s">
        <v>666</v>
      </c>
      <c r="J6" s="3" t="s">
        <v>676</v>
      </c>
      <c r="K6" s="5" t="s">
        <v>53</v>
      </c>
      <c r="L6" s="3" t="s">
        <v>677</v>
      </c>
      <c r="M6" s="3" t="s">
        <v>55</v>
      </c>
      <c r="N6" s="5" t="s">
        <v>56</v>
      </c>
    </row>
    <row r="7" spans="1:14" ht="28.8" x14ac:dyDescent="0.3">
      <c r="A7" s="3" t="s">
        <v>678</v>
      </c>
      <c r="B7" s="3" t="s">
        <v>660</v>
      </c>
      <c r="C7" s="3" t="s">
        <v>60</v>
      </c>
      <c r="D7" s="3" t="s">
        <v>679</v>
      </c>
      <c r="E7" s="5" t="s">
        <v>67</v>
      </c>
      <c r="F7" s="5" t="s">
        <v>60</v>
      </c>
      <c r="G7" s="5" t="s">
        <v>4</v>
      </c>
      <c r="H7" s="3" t="s">
        <v>665</v>
      </c>
      <c r="I7" s="3" t="s">
        <v>666</v>
      </c>
      <c r="J7" s="3" t="s">
        <v>679</v>
      </c>
      <c r="K7" s="5" t="s">
        <v>53</v>
      </c>
      <c r="L7" s="3" t="s">
        <v>680</v>
      </c>
      <c r="M7" s="3" t="s">
        <v>55</v>
      </c>
      <c r="N7" s="5" t="s">
        <v>56</v>
      </c>
    </row>
    <row r="8" spans="1:14" ht="28.8" x14ac:dyDescent="0.3">
      <c r="A8" s="3" t="s">
        <v>681</v>
      </c>
      <c r="B8" s="3" t="s">
        <v>660</v>
      </c>
      <c r="C8" s="3" t="s">
        <v>682</v>
      </c>
      <c r="D8" s="3" t="s">
        <v>683</v>
      </c>
      <c r="E8" s="5" t="s">
        <v>48</v>
      </c>
      <c r="F8" s="5" t="s">
        <v>190</v>
      </c>
      <c r="G8" s="5" t="s">
        <v>4</v>
      </c>
      <c r="H8" s="3" t="s">
        <v>665</v>
      </c>
      <c r="I8" s="3" t="s">
        <v>684</v>
      </c>
      <c r="J8" s="3" t="s">
        <v>685</v>
      </c>
      <c r="K8" s="5" t="s">
        <v>53</v>
      </c>
      <c r="L8" s="3" t="s">
        <v>686</v>
      </c>
      <c r="M8" s="3" t="s">
        <v>55</v>
      </c>
      <c r="N8" s="5" t="s">
        <v>56</v>
      </c>
    </row>
    <row r="9" spans="1:14" ht="28.8" x14ac:dyDescent="0.3">
      <c r="A9" s="3" t="s">
        <v>687</v>
      </c>
      <c r="B9" s="3" t="s">
        <v>660</v>
      </c>
      <c r="C9" s="3" t="s">
        <v>682</v>
      </c>
      <c r="D9" s="3" t="s">
        <v>688</v>
      </c>
      <c r="E9" s="5" t="s">
        <v>48</v>
      </c>
      <c r="F9" s="5" t="s">
        <v>190</v>
      </c>
      <c r="G9" s="5" t="s">
        <v>4</v>
      </c>
      <c r="H9" s="3" t="s">
        <v>665</v>
      </c>
      <c r="I9" s="3" t="s">
        <v>689</v>
      </c>
      <c r="J9" s="3" t="s">
        <v>690</v>
      </c>
      <c r="K9" s="5" t="s">
        <v>53</v>
      </c>
      <c r="L9" s="3" t="s">
        <v>691</v>
      </c>
      <c r="M9" s="3" t="s">
        <v>55</v>
      </c>
      <c r="N9" s="5" t="s">
        <v>56</v>
      </c>
    </row>
    <row r="10" spans="1:14" ht="28.8" x14ac:dyDescent="0.3">
      <c r="A10" s="3" t="s">
        <v>692</v>
      </c>
      <c r="B10" s="3" t="s">
        <v>660</v>
      </c>
      <c r="C10" s="3" t="s">
        <v>49</v>
      </c>
      <c r="D10" s="3" t="s">
        <v>693</v>
      </c>
      <c r="E10" s="5" t="s">
        <v>48</v>
      </c>
      <c r="F10" s="5" t="s">
        <v>49</v>
      </c>
      <c r="G10" s="5" t="s">
        <v>4</v>
      </c>
      <c r="H10" s="3" t="s">
        <v>665</v>
      </c>
      <c r="I10" s="3" t="s">
        <v>694</v>
      </c>
      <c r="J10" s="3" t="s">
        <v>695</v>
      </c>
      <c r="K10" s="5" t="s">
        <v>53</v>
      </c>
      <c r="L10" s="3" t="s">
        <v>696</v>
      </c>
      <c r="M10" s="3" t="s">
        <v>55</v>
      </c>
      <c r="N10" s="5" t="s">
        <v>56</v>
      </c>
    </row>
    <row r="11" spans="1:14" ht="28.8" x14ac:dyDescent="0.3">
      <c r="A11" s="3" t="s">
        <v>697</v>
      </c>
      <c r="B11" s="3" t="s">
        <v>660</v>
      </c>
      <c r="C11" s="3" t="s">
        <v>698</v>
      </c>
      <c r="D11" s="3" t="s">
        <v>699</v>
      </c>
      <c r="E11" s="5" t="s">
        <v>110</v>
      </c>
      <c r="F11" s="5" t="s">
        <v>60</v>
      </c>
      <c r="G11" s="5" t="s">
        <v>4</v>
      </c>
      <c r="H11" s="3" t="s">
        <v>665</v>
      </c>
      <c r="I11" s="3" t="s">
        <v>700</v>
      </c>
      <c r="J11" s="3" t="s">
        <v>701</v>
      </c>
      <c r="K11" s="5" t="s">
        <v>53</v>
      </c>
      <c r="L11" s="3" t="s">
        <v>702</v>
      </c>
      <c r="M11" s="3" t="s">
        <v>55</v>
      </c>
      <c r="N11" s="5" t="s">
        <v>56</v>
      </c>
    </row>
    <row r="12" spans="1:14" ht="28.8" x14ac:dyDescent="0.3">
      <c r="A12" s="3" t="s">
        <v>703</v>
      </c>
      <c r="B12" s="3" t="s">
        <v>660</v>
      </c>
      <c r="C12" s="3" t="s">
        <v>704</v>
      </c>
      <c r="D12" s="3" t="s">
        <v>705</v>
      </c>
      <c r="E12" s="5" t="s">
        <v>110</v>
      </c>
      <c r="F12" s="5" t="s">
        <v>49</v>
      </c>
      <c r="G12" s="5" t="s">
        <v>4</v>
      </c>
      <c r="H12" s="3" t="s">
        <v>706</v>
      </c>
      <c r="I12" s="3" t="s">
        <v>707</v>
      </c>
      <c r="J12" s="3" t="s">
        <v>708</v>
      </c>
      <c r="K12" s="5" t="s">
        <v>53</v>
      </c>
      <c r="L12" s="3" t="s">
        <v>709</v>
      </c>
      <c r="M12" s="3" t="s">
        <v>55</v>
      </c>
      <c r="N12" s="5" t="s">
        <v>56</v>
      </c>
    </row>
    <row r="13" spans="1:14" ht="28.8" x14ac:dyDescent="0.3">
      <c r="A13" s="3" t="s">
        <v>710</v>
      </c>
      <c r="B13" s="3" t="s">
        <v>660</v>
      </c>
      <c r="C13" s="3" t="s">
        <v>88</v>
      </c>
      <c r="D13" s="3" t="s">
        <v>711</v>
      </c>
      <c r="E13" s="5" t="s">
        <v>110</v>
      </c>
      <c r="F13" s="5" t="s">
        <v>49</v>
      </c>
      <c r="G13" s="5" t="s">
        <v>4</v>
      </c>
      <c r="H13" s="3" t="s">
        <v>712</v>
      </c>
      <c r="I13" s="3" t="s">
        <v>713</v>
      </c>
      <c r="J13" s="3" t="s">
        <v>714</v>
      </c>
      <c r="K13" s="5" t="s">
        <v>53</v>
      </c>
      <c r="L13" s="3" t="s">
        <v>715</v>
      </c>
      <c r="M13" s="3" t="s">
        <v>55</v>
      </c>
      <c r="N13" s="5" t="s">
        <v>56</v>
      </c>
    </row>
  </sheetData>
  <conditionalFormatting sqref="E2:E13">
    <cfRule type="cellIs" dxfId="23" priority="1" operator="equal">
      <formula>"High"</formula>
    </cfRule>
    <cfRule type="cellIs" dxfId="22" priority="2" operator="equal">
      <formula>"Medium"</formula>
    </cfRule>
    <cfRule type="cellIs" dxfId="21" priority="3" operator="equal">
      <formula>"Low"</formula>
    </cfRule>
  </conditionalFormatting>
  <conditionalFormatting sqref="G2:G13">
    <cfRule type="cellIs" dxfId="20" priority="4" operator="equal">
      <formula>"Smoke"</formula>
    </cfRule>
    <cfRule type="cellIs" dxfId="19" priority="5" operator="equal">
      <formula>"Regression"</formula>
    </cfRule>
  </conditionalFormatting>
  <conditionalFormatting sqref="N2:N13">
    <cfRule type="cellIs" dxfId="18" priority="6" operator="equal">
      <formula>"Pass"</formula>
    </cfRule>
    <cfRule type="cellIs" dxfId="17" priority="7" operator="equal">
      <formula>"Fail"</formula>
    </cfRule>
    <cfRule type="cellIs" dxfId="16" priority="8" operator="equal">
      <formula>"Blocked"</formula>
    </cfRule>
    <cfRule type="cellIs" dxfId="15" priority="9" operator="equal">
      <formula>"Not Run"</formula>
    </cfRule>
  </conditionalFormatting>
  <dataValidations count="4">
    <dataValidation type="list" allowBlank="1" sqref="N2:N13" xr:uid="{00000000-0002-0000-0600-000000000000}">
      <formula1>"Pass,Fail,Blocked,Not Run"</formula1>
    </dataValidation>
    <dataValidation type="list" sqref="G2:G13" xr:uid="{00000000-0002-0000-0600-000001000000}">
      <formula1>"Smoke,Regression"</formula1>
    </dataValidation>
    <dataValidation type="list" sqref="E2:E13" xr:uid="{00000000-0002-0000-0600-000002000000}">
      <formula1>"High,Medium,Low"</formula1>
    </dataValidation>
    <dataValidation type="list" sqref="K2:K13" xr:uid="{00000000-0002-0000-0600-000003000000}">
      <formula1>"Yes,No"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16"/>
  <sheetViews>
    <sheetView showGridLines="0" topLeftCell="G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6" customWidth="1"/>
    <col min="2" max="2" width="14" customWidth="1"/>
    <col min="3" max="3" width="16" customWidth="1"/>
    <col min="4" max="4" width="34" customWidth="1"/>
    <col min="5" max="5" width="11" customWidth="1"/>
    <col min="6" max="7" width="14" customWidth="1"/>
    <col min="8" max="8" width="24" customWidth="1"/>
    <col min="9" max="9" width="55" customWidth="1"/>
    <col min="10" max="10" width="42" customWidth="1"/>
    <col min="11" max="12" width="18" customWidth="1"/>
    <col min="13" max="13" width="24" customWidth="1"/>
    <col min="14" max="14" width="12" customWidth="1"/>
  </cols>
  <sheetData>
    <row r="1" spans="1:14" ht="28.8" x14ac:dyDescent="0.3">
      <c r="A1" s="2" t="s">
        <v>31</v>
      </c>
      <c r="B1" s="2" t="s">
        <v>32</v>
      </c>
      <c r="C1" s="2" t="s">
        <v>33</v>
      </c>
      <c r="D1" s="2" t="s">
        <v>34</v>
      </c>
      <c r="E1" s="2" t="s">
        <v>35</v>
      </c>
      <c r="F1" s="2" t="s">
        <v>36</v>
      </c>
      <c r="G1" s="2" t="s">
        <v>37</v>
      </c>
      <c r="H1" s="2" t="s">
        <v>38</v>
      </c>
      <c r="I1" s="2" t="s">
        <v>39</v>
      </c>
      <c r="J1" s="2" t="s">
        <v>40</v>
      </c>
      <c r="K1" s="2" t="s">
        <v>41</v>
      </c>
      <c r="L1" s="2" t="s">
        <v>42</v>
      </c>
      <c r="M1" s="2" t="s">
        <v>43</v>
      </c>
      <c r="N1" s="2" t="s">
        <v>44</v>
      </c>
    </row>
    <row r="2" spans="1:14" ht="28.8" x14ac:dyDescent="0.3">
      <c r="A2" s="3" t="s">
        <v>716</v>
      </c>
      <c r="B2" s="3" t="s">
        <v>717</v>
      </c>
      <c r="C2" s="3" t="s">
        <v>718</v>
      </c>
      <c r="D2" s="3" t="s">
        <v>719</v>
      </c>
      <c r="E2" s="5" t="s">
        <v>48</v>
      </c>
      <c r="F2" s="5" t="s">
        <v>720</v>
      </c>
      <c r="G2" s="5" t="s">
        <v>3</v>
      </c>
      <c r="H2" s="3" t="s">
        <v>721</v>
      </c>
      <c r="I2" s="3" t="s">
        <v>722</v>
      </c>
      <c r="J2" s="3" t="s">
        <v>723</v>
      </c>
      <c r="K2" s="5" t="s">
        <v>53</v>
      </c>
      <c r="L2" s="3" t="s">
        <v>724</v>
      </c>
      <c r="M2" s="3" t="s">
        <v>55</v>
      </c>
      <c r="N2" s="5" t="s">
        <v>56</v>
      </c>
    </row>
    <row r="3" spans="1:14" ht="28.8" x14ac:dyDescent="0.3">
      <c r="A3" s="3" t="s">
        <v>725</v>
      </c>
      <c r="B3" s="3" t="s">
        <v>717</v>
      </c>
      <c r="C3" s="3" t="s">
        <v>726</v>
      </c>
      <c r="D3" s="3" t="s">
        <v>727</v>
      </c>
      <c r="E3" s="5" t="s">
        <v>48</v>
      </c>
      <c r="F3" s="5" t="s">
        <v>720</v>
      </c>
      <c r="G3" s="5" t="s">
        <v>4</v>
      </c>
      <c r="H3" s="3" t="s">
        <v>228</v>
      </c>
      <c r="I3" s="3" t="s">
        <v>728</v>
      </c>
      <c r="J3" s="3" t="s">
        <v>729</v>
      </c>
      <c r="K3" s="5" t="s">
        <v>53</v>
      </c>
      <c r="L3" s="3" t="s">
        <v>730</v>
      </c>
      <c r="M3" s="3" t="s">
        <v>55</v>
      </c>
      <c r="N3" s="5" t="s">
        <v>56</v>
      </c>
    </row>
    <row r="4" spans="1:14" ht="28.8" x14ac:dyDescent="0.3">
      <c r="A4" s="3" t="s">
        <v>731</v>
      </c>
      <c r="B4" s="3" t="s">
        <v>717</v>
      </c>
      <c r="C4" s="3" t="s">
        <v>732</v>
      </c>
      <c r="D4" s="3" t="s">
        <v>733</v>
      </c>
      <c r="E4" s="5" t="s">
        <v>48</v>
      </c>
      <c r="F4" s="5" t="s">
        <v>720</v>
      </c>
      <c r="G4" s="5" t="s">
        <v>4</v>
      </c>
      <c r="H4" s="3" t="s">
        <v>734</v>
      </c>
      <c r="I4" s="3" t="s">
        <v>735</v>
      </c>
      <c r="J4" s="3" t="s">
        <v>736</v>
      </c>
      <c r="K4" s="5" t="s">
        <v>53</v>
      </c>
      <c r="L4" s="3" t="s">
        <v>737</v>
      </c>
      <c r="M4" s="3" t="s">
        <v>55</v>
      </c>
      <c r="N4" s="5" t="s">
        <v>56</v>
      </c>
    </row>
    <row r="5" spans="1:14" ht="28.8" x14ac:dyDescent="0.3">
      <c r="A5" s="3" t="s">
        <v>738</v>
      </c>
      <c r="B5" s="3" t="s">
        <v>717</v>
      </c>
      <c r="C5" s="3" t="s">
        <v>739</v>
      </c>
      <c r="D5" s="3" t="s">
        <v>740</v>
      </c>
      <c r="E5" s="5" t="s">
        <v>48</v>
      </c>
      <c r="F5" s="5" t="s">
        <v>720</v>
      </c>
      <c r="G5" s="5" t="s">
        <v>3</v>
      </c>
      <c r="H5" s="3" t="s">
        <v>241</v>
      </c>
      <c r="I5" s="3" t="s">
        <v>741</v>
      </c>
      <c r="J5" s="3" t="s">
        <v>742</v>
      </c>
      <c r="K5" s="5" t="s">
        <v>53</v>
      </c>
      <c r="L5" s="3" t="s">
        <v>743</v>
      </c>
      <c r="M5" s="3" t="s">
        <v>55</v>
      </c>
      <c r="N5" s="5" t="s">
        <v>56</v>
      </c>
    </row>
    <row r="6" spans="1:14" ht="28.8" x14ac:dyDescent="0.3">
      <c r="A6" s="3" t="s">
        <v>744</v>
      </c>
      <c r="B6" s="3" t="s">
        <v>717</v>
      </c>
      <c r="C6" s="3" t="s">
        <v>745</v>
      </c>
      <c r="D6" s="3" t="s">
        <v>746</v>
      </c>
      <c r="E6" s="5" t="s">
        <v>48</v>
      </c>
      <c r="F6" s="5" t="s">
        <v>720</v>
      </c>
      <c r="G6" s="5" t="s">
        <v>3</v>
      </c>
      <c r="H6" s="3" t="s">
        <v>747</v>
      </c>
      <c r="I6" s="3" t="s">
        <v>748</v>
      </c>
      <c r="J6" s="3" t="s">
        <v>611</v>
      </c>
      <c r="K6" s="5" t="s">
        <v>53</v>
      </c>
      <c r="L6" s="3" t="s">
        <v>749</v>
      </c>
      <c r="M6" s="3" t="s">
        <v>55</v>
      </c>
      <c r="N6" s="5" t="s">
        <v>56</v>
      </c>
    </row>
    <row r="7" spans="1:14" ht="28.8" x14ac:dyDescent="0.3">
      <c r="A7" s="3" t="s">
        <v>750</v>
      </c>
      <c r="B7" s="3" t="s">
        <v>717</v>
      </c>
      <c r="C7" s="3" t="s">
        <v>751</v>
      </c>
      <c r="D7" s="3" t="s">
        <v>752</v>
      </c>
      <c r="E7" s="5" t="s">
        <v>48</v>
      </c>
      <c r="F7" s="5" t="s">
        <v>720</v>
      </c>
      <c r="G7" s="5" t="s">
        <v>4</v>
      </c>
      <c r="H7" s="3" t="s">
        <v>384</v>
      </c>
      <c r="I7" s="3" t="s">
        <v>753</v>
      </c>
      <c r="J7" s="3" t="s">
        <v>754</v>
      </c>
      <c r="K7" s="5" t="s">
        <v>53</v>
      </c>
      <c r="L7" s="3" t="s">
        <v>755</v>
      </c>
      <c r="M7" s="3" t="s">
        <v>55</v>
      </c>
      <c r="N7" s="5" t="s">
        <v>56</v>
      </c>
    </row>
    <row r="8" spans="1:14" ht="28.8" x14ac:dyDescent="0.3">
      <c r="A8" s="3" t="s">
        <v>756</v>
      </c>
      <c r="B8" s="3" t="s">
        <v>717</v>
      </c>
      <c r="C8" s="3" t="s">
        <v>757</v>
      </c>
      <c r="D8" s="3" t="s">
        <v>758</v>
      </c>
      <c r="E8" s="5" t="s">
        <v>48</v>
      </c>
      <c r="F8" s="5" t="s">
        <v>720</v>
      </c>
      <c r="G8" s="5" t="s">
        <v>4</v>
      </c>
      <c r="H8" s="3" t="s">
        <v>384</v>
      </c>
      <c r="I8" s="3" t="s">
        <v>759</v>
      </c>
      <c r="J8" s="3" t="s">
        <v>760</v>
      </c>
      <c r="K8" s="5" t="s">
        <v>53</v>
      </c>
      <c r="L8" s="3" t="s">
        <v>761</v>
      </c>
      <c r="M8" s="3" t="s">
        <v>55</v>
      </c>
      <c r="N8" s="5" t="s">
        <v>56</v>
      </c>
    </row>
    <row r="9" spans="1:14" ht="28.8" x14ac:dyDescent="0.3">
      <c r="A9" s="3" t="s">
        <v>762</v>
      </c>
      <c r="B9" s="3" t="s">
        <v>717</v>
      </c>
      <c r="C9" s="3" t="s">
        <v>763</v>
      </c>
      <c r="D9" s="3" t="s">
        <v>764</v>
      </c>
      <c r="E9" s="5" t="s">
        <v>67</v>
      </c>
      <c r="F9" s="5" t="s">
        <v>720</v>
      </c>
      <c r="G9" s="5" t="s">
        <v>4</v>
      </c>
      <c r="H9" s="3" t="s">
        <v>384</v>
      </c>
      <c r="I9" s="3" t="s">
        <v>765</v>
      </c>
      <c r="J9" s="3" t="s">
        <v>766</v>
      </c>
      <c r="K9" s="5" t="s">
        <v>53</v>
      </c>
      <c r="L9" s="3" t="s">
        <v>767</v>
      </c>
      <c r="M9" s="3" t="s">
        <v>55</v>
      </c>
      <c r="N9" s="5" t="s">
        <v>56</v>
      </c>
    </row>
    <row r="10" spans="1:14" ht="28.8" x14ac:dyDescent="0.3">
      <c r="A10" s="3" t="s">
        <v>768</v>
      </c>
      <c r="B10" s="3" t="s">
        <v>717</v>
      </c>
      <c r="C10" s="3" t="s">
        <v>769</v>
      </c>
      <c r="D10" s="3" t="s">
        <v>770</v>
      </c>
      <c r="E10" s="5" t="s">
        <v>67</v>
      </c>
      <c r="F10" s="5" t="s">
        <v>720</v>
      </c>
      <c r="G10" s="5" t="s">
        <v>4</v>
      </c>
      <c r="H10" s="3" t="s">
        <v>771</v>
      </c>
      <c r="I10" s="3" t="s">
        <v>772</v>
      </c>
      <c r="J10" s="3" t="s">
        <v>773</v>
      </c>
      <c r="K10" s="5" t="s">
        <v>53</v>
      </c>
      <c r="L10" s="3" t="s">
        <v>774</v>
      </c>
      <c r="M10" s="3" t="s">
        <v>55</v>
      </c>
      <c r="N10" s="5" t="s">
        <v>56</v>
      </c>
    </row>
    <row r="11" spans="1:14" ht="28.8" x14ac:dyDescent="0.3">
      <c r="A11" s="3" t="s">
        <v>775</v>
      </c>
      <c r="B11" s="3" t="s">
        <v>717</v>
      </c>
      <c r="C11" s="3" t="s">
        <v>776</v>
      </c>
      <c r="D11" s="3" t="s">
        <v>777</v>
      </c>
      <c r="E11" s="5" t="s">
        <v>67</v>
      </c>
      <c r="F11" s="5" t="s">
        <v>720</v>
      </c>
      <c r="G11" s="5" t="s">
        <v>4</v>
      </c>
      <c r="H11" s="3" t="s">
        <v>778</v>
      </c>
      <c r="I11" s="3" t="s">
        <v>779</v>
      </c>
      <c r="J11" s="3" t="s">
        <v>780</v>
      </c>
      <c r="K11" s="5" t="s">
        <v>53</v>
      </c>
      <c r="L11" s="3" t="s">
        <v>781</v>
      </c>
      <c r="M11" s="3" t="s">
        <v>55</v>
      </c>
      <c r="N11" s="5" t="s">
        <v>56</v>
      </c>
    </row>
    <row r="12" spans="1:14" ht="28.8" x14ac:dyDescent="0.3">
      <c r="A12" s="3" t="s">
        <v>782</v>
      </c>
      <c r="B12" s="3" t="s">
        <v>717</v>
      </c>
      <c r="C12" s="3" t="s">
        <v>783</v>
      </c>
      <c r="D12" s="3" t="s">
        <v>784</v>
      </c>
      <c r="E12" s="5" t="s">
        <v>67</v>
      </c>
      <c r="F12" s="5" t="s">
        <v>720</v>
      </c>
      <c r="G12" s="5" t="s">
        <v>4</v>
      </c>
      <c r="H12" s="3" t="s">
        <v>771</v>
      </c>
      <c r="I12" s="3" t="s">
        <v>785</v>
      </c>
      <c r="J12" s="3" t="s">
        <v>786</v>
      </c>
      <c r="K12" s="5" t="s">
        <v>53</v>
      </c>
      <c r="L12" s="3" t="s">
        <v>787</v>
      </c>
      <c r="M12" s="3" t="s">
        <v>55</v>
      </c>
      <c r="N12" s="5" t="s">
        <v>56</v>
      </c>
    </row>
    <row r="13" spans="1:14" ht="28.8" x14ac:dyDescent="0.3">
      <c r="A13" s="3" t="s">
        <v>788</v>
      </c>
      <c r="B13" s="3" t="s">
        <v>717</v>
      </c>
      <c r="C13" s="3" t="s">
        <v>789</v>
      </c>
      <c r="D13" s="3" t="s">
        <v>790</v>
      </c>
      <c r="E13" s="5" t="s">
        <v>110</v>
      </c>
      <c r="F13" s="5" t="s">
        <v>720</v>
      </c>
      <c r="G13" s="5" t="s">
        <v>4</v>
      </c>
      <c r="H13" s="3" t="s">
        <v>665</v>
      </c>
      <c r="I13" s="3" t="s">
        <v>791</v>
      </c>
      <c r="J13" s="3" t="s">
        <v>792</v>
      </c>
      <c r="K13" s="5" t="s">
        <v>53</v>
      </c>
      <c r="L13" s="3" t="s">
        <v>793</v>
      </c>
      <c r="M13" s="3" t="s">
        <v>55</v>
      </c>
      <c r="N13" s="5" t="s">
        <v>56</v>
      </c>
    </row>
    <row r="14" spans="1:14" ht="28.8" x14ac:dyDescent="0.3">
      <c r="A14" s="3" t="s">
        <v>794</v>
      </c>
      <c r="B14" s="3" t="s">
        <v>717</v>
      </c>
      <c r="C14" s="3" t="s">
        <v>795</v>
      </c>
      <c r="D14" s="3" t="s">
        <v>796</v>
      </c>
      <c r="E14" s="5" t="s">
        <v>67</v>
      </c>
      <c r="F14" s="5" t="s">
        <v>720</v>
      </c>
      <c r="G14" s="5" t="s">
        <v>4</v>
      </c>
      <c r="H14" s="3" t="s">
        <v>771</v>
      </c>
      <c r="I14" s="3" t="s">
        <v>797</v>
      </c>
      <c r="J14" s="3" t="s">
        <v>798</v>
      </c>
      <c r="K14" s="5" t="s">
        <v>53</v>
      </c>
      <c r="L14" s="3" t="s">
        <v>799</v>
      </c>
      <c r="M14" s="3" t="s">
        <v>55</v>
      </c>
      <c r="N14" s="5" t="s">
        <v>56</v>
      </c>
    </row>
    <row r="15" spans="1:14" ht="28.8" x14ac:dyDescent="0.3">
      <c r="A15" s="3" t="s">
        <v>800</v>
      </c>
      <c r="B15" s="3" t="s">
        <v>717</v>
      </c>
      <c r="C15" s="3" t="s">
        <v>801</v>
      </c>
      <c r="D15" s="3" t="s">
        <v>802</v>
      </c>
      <c r="E15" s="5" t="s">
        <v>67</v>
      </c>
      <c r="F15" s="5" t="s">
        <v>720</v>
      </c>
      <c r="G15" s="5" t="s">
        <v>4</v>
      </c>
      <c r="H15" s="3" t="s">
        <v>771</v>
      </c>
      <c r="I15" s="3" t="s">
        <v>803</v>
      </c>
      <c r="J15" s="3" t="s">
        <v>804</v>
      </c>
      <c r="K15" s="5" t="s">
        <v>53</v>
      </c>
      <c r="L15" s="3" t="s">
        <v>805</v>
      </c>
      <c r="M15" s="3" t="s">
        <v>55</v>
      </c>
      <c r="N15" s="5" t="s">
        <v>56</v>
      </c>
    </row>
    <row r="16" spans="1:14" ht="28.8" x14ac:dyDescent="0.3">
      <c r="A16" s="3" t="s">
        <v>806</v>
      </c>
      <c r="B16" s="3" t="s">
        <v>717</v>
      </c>
      <c r="C16" s="3" t="s">
        <v>807</v>
      </c>
      <c r="D16" s="3" t="s">
        <v>808</v>
      </c>
      <c r="E16" s="5" t="s">
        <v>67</v>
      </c>
      <c r="F16" s="5" t="s">
        <v>720</v>
      </c>
      <c r="G16" s="5" t="s">
        <v>4</v>
      </c>
      <c r="H16" s="3" t="s">
        <v>778</v>
      </c>
      <c r="I16" s="3" t="s">
        <v>809</v>
      </c>
      <c r="J16" s="3" t="s">
        <v>810</v>
      </c>
      <c r="K16" s="5" t="s">
        <v>53</v>
      </c>
      <c r="L16" s="3" t="s">
        <v>811</v>
      </c>
      <c r="M16" s="3" t="s">
        <v>55</v>
      </c>
      <c r="N16" s="5" t="s">
        <v>56</v>
      </c>
    </row>
  </sheetData>
  <conditionalFormatting sqref="E2:E16">
    <cfRule type="cellIs" dxfId="14" priority="1" operator="equal">
      <formula>"High"</formula>
    </cfRule>
    <cfRule type="cellIs" dxfId="13" priority="2" operator="equal">
      <formula>"Medium"</formula>
    </cfRule>
    <cfRule type="cellIs" dxfId="12" priority="3" operator="equal">
      <formula>"Low"</formula>
    </cfRule>
  </conditionalFormatting>
  <conditionalFormatting sqref="G2:G16">
    <cfRule type="cellIs" dxfId="11" priority="4" operator="equal">
      <formula>"Smoke"</formula>
    </cfRule>
    <cfRule type="cellIs" dxfId="10" priority="5" operator="equal">
      <formula>"Regression"</formula>
    </cfRule>
  </conditionalFormatting>
  <conditionalFormatting sqref="N2:N16">
    <cfRule type="cellIs" dxfId="9" priority="6" operator="equal">
      <formula>"Pass"</formula>
    </cfRule>
    <cfRule type="cellIs" dxfId="8" priority="7" operator="equal">
      <formula>"Fail"</formula>
    </cfRule>
    <cfRule type="cellIs" dxfId="7" priority="8" operator="equal">
      <formula>"Blocked"</formula>
    </cfRule>
    <cfRule type="cellIs" dxfId="6" priority="9" operator="equal">
      <formula>"Not Run"</formula>
    </cfRule>
  </conditionalFormatting>
  <dataValidations count="4">
    <dataValidation type="list" allowBlank="1" sqref="N2:N16" xr:uid="{00000000-0002-0000-0700-000000000000}">
      <formula1>"Pass,Fail,Blocked,Not Run"</formula1>
    </dataValidation>
    <dataValidation type="list" sqref="G2:G16" xr:uid="{00000000-0002-0000-0700-000001000000}">
      <formula1>"Smoke,Regression"</formula1>
    </dataValidation>
    <dataValidation type="list" sqref="E2:E16" xr:uid="{00000000-0002-0000-0700-000002000000}">
      <formula1>"High,Medium,Low"</formula1>
    </dataValidation>
    <dataValidation type="list" sqref="K2:K16" xr:uid="{00000000-0002-0000-0700-000003000000}">
      <formula1>"Yes,No"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100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18" customWidth="1"/>
    <col min="3" max="3" width="14" customWidth="1"/>
    <col min="4" max="4" width="30" customWidth="1"/>
    <col min="5" max="6" width="12" customWidth="1"/>
    <col min="7" max="7" width="18" customWidth="1"/>
    <col min="8" max="8" width="20" customWidth="1"/>
    <col min="9" max="9" width="45" customWidth="1"/>
    <col min="10" max="11" width="28" customWidth="1"/>
    <col min="12" max="12" width="14" customWidth="1"/>
    <col min="13" max="13" width="16" customWidth="1"/>
    <col min="14" max="14" width="20" customWidth="1"/>
    <col min="15" max="15" width="24" customWidth="1"/>
  </cols>
  <sheetData>
    <row r="1" spans="1:15" x14ac:dyDescent="0.3">
      <c r="A1" s="2" t="s">
        <v>812</v>
      </c>
      <c r="B1" s="2" t="s">
        <v>813</v>
      </c>
      <c r="C1" s="2" t="s">
        <v>32</v>
      </c>
      <c r="D1" s="2" t="s">
        <v>814</v>
      </c>
      <c r="E1" s="2" t="s">
        <v>815</v>
      </c>
      <c r="F1" s="2" t="s">
        <v>35</v>
      </c>
      <c r="G1" s="2" t="s">
        <v>816</v>
      </c>
      <c r="H1" s="2" t="s">
        <v>38</v>
      </c>
      <c r="I1" s="2" t="s">
        <v>817</v>
      </c>
      <c r="J1" s="2" t="s">
        <v>40</v>
      </c>
      <c r="K1" s="2" t="s">
        <v>43</v>
      </c>
      <c r="L1" s="2" t="s">
        <v>44</v>
      </c>
      <c r="M1" s="2" t="s">
        <v>818</v>
      </c>
      <c r="N1" s="2" t="s">
        <v>819</v>
      </c>
      <c r="O1" s="2" t="s">
        <v>820</v>
      </c>
    </row>
    <row r="2" spans="1:15" ht="43.2" x14ac:dyDescent="0.3">
      <c r="A2" s="3" t="s">
        <v>821</v>
      </c>
      <c r="B2" s="3" t="s">
        <v>208</v>
      </c>
      <c r="C2" s="3" t="s">
        <v>155</v>
      </c>
      <c r="D2" s="3" t="s">
        <v>822</v>
      </c>
      <c r="E2" s="5" t="s">
        <v>823</v>
      </c>
      <c r="F2" s="5" t="s">
        <v>48</v>
      </c>
      <c r="G2" s="3" t="s">
        <v>824</v>
      </c>
      <c r="H2" s="3" t="s">
        <v>825</v>
      </c>
      <c r="I2" s="3" t="s">
        <v>826</v>
      </c>
      <c r="J2" s="3" t="s">
        <v>827</v>
      </c>
      <c r="K2" s="3"/>
      <c r="L2" s="5" t="s">
        <v>828</v>
      </c>
      <c r="M2" s="3"/>
      <c r="N2" s="3"/>
      <c r="O2" s="3"/>
    </row>
    <row r="3" spans="1:15" ht="28.8" x14ac:dyDescent="0.3">
      <c r="A3" s="3" t="s">
        <v>829</v>
      </c>
      <c r="B3" s="3" t="s">
        <v>446</v>
      </c>
      <c r="C3" s="3" t="s">
        <v>10</v>
      </c>
      <c r="D3" s="3" t="s">
        <v>830</v>
      </c>
      <c r="E3" s="5" t="s">
        <v>831</v>
      </c>
      <c r="F3" s="5" t="s">
        <v>67</v>
      </c>
      <c r="G3" s="3" t="s">
        <v>824</v>
      </c>
      <c r="H3" s="3" t="s">
        <v>832</v>
      </c>
      <c r="I3" s="3" t="s">
        <v>448</v>
      </c>
      <c r="J3" s="3" t="s">
        <v>833</v>
      </c>
      <c r="K3" s="3"/>
      <c r="L3" s="5" t="s">
        <v>828</v>
      </c>
      <c r="M3" s="3"/>
      <c r="N3" s="3"/>
      <c r="O3" s="3"/>
    </row>
    <row r="4" spans="1:15" x14ac:dyDescent="0.3">
      <c r="A4" s="3"/>
      <c r="B4" s="3"/>
      <c r="C4" s="3"/>
      <c r="D4" s="3"/>
      <c r="E4" s="5"/>
      <c r="F4" s="5"/>
      <c r="G4" s="3"/>
      <c r="H4" s="3"/>
      <c r="I4" s="3"/>
      <c r="J4" s="3"/>
      <c r="K4" s="3"/>
      <c r="L4" s="5"/>
      <c r="M4" s="3"/>
      <c r="N4" s="3"/>
      <c r="O4" s="3"/>
    </row>
    <row r="5" spans="1:15" x14ac:dyDescent="0.3">
      <c r="A5" s="3"/>
      <c r="B5" s="3"/>
      <c r="C5" s="3"/>
      <c r="D5" s="3"/>
      <c r="E5" s="5"/>
      <c r="F5" s="5"/>
      <c r="G5" s="3"/>
      <c r="H5" s="3"/>
      <c r="I5" s="3"/>
      <c r="J5" s="3"/>
      <c r="K5" s="3"/>
      <c r="L5" s="5"/>
      <c r="M5" s="3"/>
      <c r="N5" s="3"/>
      <c r="O5" s="3"/>
    </row>
    <row r="6" spans="1:15" x14ac:dyDescent="0.3">
      <c r="A6" s="3"/>
      <c r="B6" s="3"/>
      <c r="C6" s="3"/>
      <c r="D6" s="3"/>
      <c r="E6" s="5"/>
      <c r="F6" s="5"/>
      <c r="G6" s="3"/>
      <c r="H6" s="3"/>
      <c r="I6" s="3"/>
      <c r="J6" s="3"/>
      <c r="K6" s="3"/>
      <c r="L6" s="5"/>
      <c r="M6" s="3"/>
      <c r="N6" s="3"/>
      <c r="O6" s="3"/>
    </row>
    <row r="7" spans="1:15" x14ac:dyDescent="0.3">
      <c r="A7" s="3"/>
      <c r="B7" s="3"/>
      <c r="C7" s="3"/>
      <c r="D7" s="3"/>
      <c r="E7" s="5"/>
      <c r="F7" s="5"/>
      <c r="G7" s="3"/>
      <c r="H7" s="3"/>
      <c r="I7" s="3"/>
      <c r="J7" s="3"/>
      <c r="K7" s="3"/>
      <c r="L7" s="5"/>
      <c r="M7" s="3"/>
      <c r="N7" s="3"/>
      <c r="O7" s="3"/>
    </row>
    <row r="8" spans="1:15" x14ac:dyDescent="0.3">
      <c r="A8" s="3"/>
      <c r="B8" s="3"/>
      <c r="C8" s="3"/>
      <c r="D8" s="3"/>
      <c r="E8" s="5"/>
      <c r="F8" s="5"/>
      <c r="G8" s="3"/>
      <c r="H8" s="3"/>
      <c r="I8" s="3"/>
      <c r="J8" s="3"/>
      <c r="K8" s="3"/>
      <c r="L8" s="5"/>
      <c r="M8" s="3"/>
      <c r="N8" s="3"/>
      <c r="O8" s="3"/>
    </row>
    <row r="9" spans="1:15" x14ac:dyDescent="0.3">
      <c r="A9" s="3"/>
      <c r="B9" s="3"/>
      <c r="C9" s="3"/>
      <c r="D9" s="3"/>
      <c r="E9" s="5"/>
      <c r="F9" s="5"/>
      <c r="G9" s="3"/>
      <c r="H9" s="3"/>
      <c r="I9" s="3"/>
      <c r="J9" s="3"/>
      <c r="K9" s="3"/>
      <c r="L9" s="5"/>
      <c r="M9" s="3"/>
      <c r="N9" s="3"/>
      <c r="O9" s="3"/>
    </row>
    <row r="10" spans="1:15" x14ac:dyDescent="0.3">
      <c r="A10" s="3"/>
      <c r="B10" s="3"/>
      <c r="C10" s="3"/>
      <c r="D10" s="3"/>
      <c r="E10" s="5"/>
      <c r="F10" s="5"/>
      <c r="G10" s="3"/>
      <c r="H10" s="3"/>
      <c r="I10" s="3"/>
      <c r="J10" s="3"/>
      <c r="K10" s="3"/>
      <c r="L10" s="5"/>
      <c r="M10" s="3"/>
      <c r="N10" s="3"/>
      <c r="O10" s="3"/>
    </row>
    <row r="11" spans="1:15" x14ac:dyDescent="0.3">
      <c r="A11" s="3"/>
      <c r="B11" s="3"/>
      <c r="C11" s="3"/>
      <c r="D11" s="3"/>
      <c r="E11" s="5"/>
      <c r="F11" s="5"/>
      <c r="G11" s="3"/>
      <c r="H11" s="3"/>
      <c r="I11" s="3"/>
      <c r="J11" s="3"/>
      <c r="K11" s="3"/>
      <c r="L11" s="5"/>
      <c r="M11" s="3"/>
      <c r="N11" s="3"/>
      <c r="O11" s="3"/>
    </row>
    <row r="12" spans="1:15" x14ac:dyDescent="0.3">
      <c r="A12" s="3"/>
      <c r="B12" s="3"/>
      <c r="C12" s="3"/>
      <c r="D12" s="3"/>
      <c r="E12" s="5"/>
      <c r="F12" s="5"/>
      <c r="G12" s="3"/>
      <c r="H12" s="3"/>
      <c r="I12" s="3"/>
      <c r="J12" s="3"/>
      <c r="K12" s="3"/>
      <c r="L12" s="5"/>
      <c r="M12" s="3"/>
      <c r="N12" s="3"/>
      <c r="O12" s="3"/>
    </row>
    <row r="13" spans="1:15" x14ac:dyDescent="0.3">
      <c r="A13" s="3"/>
      <c r="B13" s="3"/>
      <c r="C13" s="3"/>
      <c r="D13" s="3"/>
      <c r="E13" s="5"/>
      <c r="F13" s="5"/>
      <c r="G13" s="3"/>
      <c r="H13" s="3"/>
      <c r="I13" s="3"/>
      <c r="J13" s="3"/>
      <c r="K13" s="3"/>
      <c r="L13" s="5"/>
      <c r="M13" s="3"/>
      <c r="N13" s="3"/>
      <c r="O13" s="3"/>
    </row>
    <row r="14" spans="1:15" x14ac:dyDescent="0.3">
      <c r="A14" s="3"/>
      <c r="B14" s="3"/>
      <c r="C14" s="3"/>
      <c r="D14" s="3"/>
      <c r="E14" s="5"/>
      <c r="F14" s="5"/>
      <c r="G14" s="3"/>
      <c r="H14" s="3"/>
      <c r="I14" s="3"/>
      <c r="J14" s="3"/>
      <c r="K14" s="3"/>
      <c r="L14" s="5"/>
      <c r="M14" s="3"/>
      <c r="N14" s="3"/>
      <c r="O14" s="3"/>
    </row>
    <row r="15" spans="1:15" x14ac:dyDescent="0.3">
      <c r="A15" s="3"/>
      <c r="B15" s="3"/>
      <c r="C15" s="3"/>
      <c r="D15" s="3"/>
      <c r="E15" s="5"/>
      <c r="F15" s="5"/>
      <c r="G15" s="3"/>
      <c r="H15" s="3"/>
      <c r="I15" s="3"/>
      <c r="J15" s="3"/>
      <c r="K15" s="3"/>
      <c r="L15" s="5"/>
      <c r="M15" s="3"/>
      <c r="N15" s="3"/>
      <c r="O15" s="3"/>
    </row>
    <row r="16" spans="1:15" x14ac:dyDescent="0.3">
      <c r="A16" s="3"/>
      <c r="B16" s="3"/>
      <c r="C16" s="3"/>
      <c r="D16" s="3"/>
      <c r="E16" s="5"/>
      <c r="F16" s="5"/>
      <c r="G16" s="3"/>
      <c r="H16" s="3"/>
      <c r="I16" s="3"/>
      <c r="J16" s="3"/>
      <c r="K16" s="3"/>
      <c r="L16" s="5"/>
      <c r="M16" s="3"/>
      <c r="N16" s="3"/>
      <c r="O16" s="3"/>
    </row>
    <row r="17" spans="1:15" x14ac:dyDescent="0.3">
      <c r="A17" s="3"/>
      <c r="B17" s="3"/>
      <c r="C17" s="3"/>
      <c r="D17" s="3"/>
      <c r="E17" s="5"/>
      <c r="F17" s="5"/>
      <c r="G17" s="3"/>
      <c r="H17" s="3"/>
      <c r="I17" s="3"/>
      <c r="J17" s="3"/>
      <c r="K17" s="3"/>
      <c r="L17" s="5"/>
      <c r="M17" s="3"/>
      <c r="N17" s="3"/>
      <c r="O17" s="3"/>
    </row>
    <row r="18" spans="1:15" x14ac:dyDescent="0.3">
      <c r="A18" s="3"/>
      <c r="B18" s="3"/>
      <c r="C18" s="3"/>
      <c r="D18" s="3"/>
      <c r="E18" s="5"/>
      <c r="F18" s="5"/>
      <c r="G18" s="3"/>
      <c r="H18" s="3"/>
      <c r="I18" s="3"/>
      <c r="J18" s="3"/>
      <c r="K18" s="3"/>
      <c r="L18" s="5"/>
      <c r="M18" s="3"/>
      <c r="N18" s="3"/>
      <c r="O18" s="3"/>
    </row>
    <row r="19" spans="1:15" x14ac:dyDescent="0.3">
      <c r="A19" s="3"/>
      <c r="B19" s="3"/>
      <c r="C19" s="3"/>
      <c r="D19" s="3"/>
      <c r="E19" s="5"/>
      <c r="F19" s="5"/>
      <c r="G19" s="3"/>
      <c r="H19" s="3"/>
      <c r="I19" s="3"/>
      <c r="J19" s="3"/>
      <c r="K19" s="3"/>
      <c r="L19" s="5"/>
      <c r="M19" s="3"/>
      <c r="N19" s="3"/>
      <c r="O19" s="3"/>
    </row>
    <row r="20" spans="1:15" x14ac:dyDescent="0.3">
      <c r="A20" s="3"/>
      <c r="B20" s="3"/>
      <c r="C20" s="3"/>
      <c r="D20" s="3"/>
      <c r="E20" s="5"/>
      <c r="F20" s="5"/>
      <c r="G20" s="3"/>
      <c r="H20" s="3"/>
      <c r="I20" s="3"/>
      <c r="J20" s="3"/>
      <c r="K20" s="3"/>
      <c r="L20" s="5"/>
      <c r="M20" s="3"/>
      <c r="N20" s="3"/>
      <c r="O20" s="3"/>
    </row>
    <row r="21" spans="1:15" x14ac:dyDescent="0.3">
      <c r="A21" s="3"/>
      <c r="B21" s="3"/>
      <c r="C21" s="3"/>
      <c r="D21" s="3"/>
      <c r="E21" s="5"/>
      <c r="F21" s="5"/>
      <c r="G21" s="3"/>
      <c r="H21" s="3"/>
      <c r="I21" s="3"/>
      <c r="J21" s="3"/>
      <c r="K21" s="3"/>
      <c r="L21" s="5"/>
      <c r="M21" s="3"/>
      <c r="N21" s="3"/>
      <c r="O21" s="3"/>
    </row>
    <row r="22" spans="1:15" x14ac:dyDescent="0.3">
      <c r="A22" s="3"/>
      <c r="B22" s="3"/>
      <c r="C22" s="3"/>
      <c r="D22" s="3"/>
      <c r="E22" s="5"/>
      <c r="F22" s="5"/>
      <c r="G22" s="3"/>
      <c r="H22" s="3"/>
      <c r="I22" s="3"/>
      <c r="J22" s="3"/>
      <c r="K22" s="3"/>
      <c r="L22" s="5"/>
      <c r="M22" s="3"/>
      <c r="N22" s="3"/>
      <c r="O22" s="3"/>
    </row>
    <row r="23" spans="1:15" x14ac:dyDescent="0.3">
      <c r="A23" s="3"/>
      <c r="B23" s="3"/>
      <c r="C23" s="3"/>
      <c r="D23" s="3"/>
      <c r="E23" s="5"/>
      <c r="F23" s="5"/>
      <c r="G23" s="3"/>
      <c r="H23" s="3"/>
      <c r="I23" s="3"/>
      <c r="J23" s="3"/>
      <c r="K23" s="3"/>
      <c r="L23" s="5"/>
      <c r="M23" s="3"/>
      <c r="N23" s="3"/>
      <c r="O23" s="3"/>
    </row>
    <row r="24" spans="1:15" x14ac:dyDescent="0.3">
      <c r="A24" s="3"/>
      <c r="B24" s="3"/>
      <c r="C24" s="3"/>
      <c r="D24" s="3"/>
      <c r="E24" s="5"/>
      <c r="F24" s="5"/>
      <c r="G24" s="3"/>
      <c r="H24" s="3"/>
      <c r="I24" s="3"/>
      <c r="J24" s="3"/>
      <c r="K24" s="3"/>
      <c r="L24" s="5"/>
      <c r="M24" s="3"/>
      <c r="N24" s="3"/>
      <c r="O24" s="3"/>
    </row>
    <row r="25" spans="1:15" x14ac:dyDescent="0.3">
      <c r="A25" s="3"/>
      <c r="B25" s="3"/>
      <c r="C25" s="3"/>
      <c r="D25" s="3"/>
      <c r="E25" s="5"/>
      <c r="F25" s="5"/>
      <c r="G25" s="3"/>
      <c r="H25" s="3"/>
      <c r="I25" s="3"/>
      <c r="J25" s="3"/>
      <c r="K25" s="3"/>
      <c r="L25" s="5"/>
      <c r="M25" s="3"/>
      <c r="N25" s="3"/>
      <c r="O25" s="3"/>
    </row>
    <row r="26" spans="1:15" x14ac:dyDescent="0.3">
      <c r="A26" s="3"/>
      <c r="B26" s="3"/>
      <c r="C26" s="3"/>
      <c r="D26" s="3"/>
      <c r="E26" s="5"/>
      <c r="F26" s="5"/>
      <c r="G26" s="3"/>
      <c r="H26" s="3"/>
      <c r="I26" s="3"/>
      <c r="J26" s="3"/>
      <c r="K26" s="3"/>
      <c r="L26" s="5"/>
      <c r="M26" s="3"/>
      <c r="N26" s="3"/>
      <c r="O26" s="3"/>
    </row>
    <row r="27" spans="1:15" x14ac:dyDescent="0.3">
      <c r="A27" s="3"/>
      <c r="B27" s="3"/>
      <c r="C27" s="3"/>
      <c r="D27" s="3"/>
      <c r="E27" s="5"/>
      <c r="F27" s="5"/>
      <c r="G27" s="3"/>
      <c r="H27" s="3"/>
      <c r="I27" s="3"/>
      <c r="J27" s="3"/>
      <c r="K27" s="3"/>
      <c r="L27" s="5"/>
      <c r="M27" s="3"/>
      <c r="N27" s="3"/>
      <c r="O27" s="3"/>
    </row>
    <row r="28" spans="1:15" x14ac:dyDescent="0.3">
      <c r="A28" s="3"/>
      <c r="B28" s="3"/>
      <c r="C28" s="3"/>
      <c r="D28" s="3"/>
      <c r="E28" s="5"/>
      <c r="F28" s="5"/>
      <c r="G28" s="3"/>
      <c r="H28" s="3"/>
      <c r="I28" s="3"/>
      <c r="J28" s="3"/>
      <c r="K28" s="3"/>
      <c r="L28" s="5"/>
      <c r="M28" s="3"/>
      <c r="N28" s="3"/>
      <c r="O28" s="3"/>
    </row>
    <row r="29" spans="1:15" x14ac:dyDescent="0.3">
      <c r="A29" s="3"/>
      <c r="B29" s="3"/>
      <c r="C29" s="3"/>
      <c r="D29" s="3"/>
      <c r="E29" s="5"/>
      <c r="F29" s="5"/>
      <c r="G29" s="3"/>
      <c r="H29" s="3"/>
      <c r="I29" s="3"/>
      <c r="J29" s="3"/>
      <c r="K29" s="3"/>
      <c r="L29" s="5"/>
      <c r="M29" s="3"/>
      <c r="N29" s="3"/>
      <c r="O29" s="3"/>
    </row>
    <row r="30" spans="1:15" x14ac:dyDescent="0.3">
      <c r="A30" s="3"/>
      <c r="B30" s="3"/>
      <c r="C30" s="3"/>
      <c r="D30" s="3"/>
      <c r="E30" s="5"/>
      <c r="F30" s="5"/>
      <c r="G30" s="3"/>
      <c r="H30" s="3"/>
      <c r="I30" s="3"/>
      <c r="J30" s="3"/>
      <c r="K30" s="3"/>
      <c r="L30" s="5"/>
      <c r="M30" s="3"/>
      <c r="N30" s="3"/>
      <c r="O30" s="3"/>
    </row>
    <row r="31" spans="1:15" x14ac:dyDescent="0.3">
      <c r="A31" s="3"/>
      <c r="B31" s="3"/>
      <c r="C31" s="3"/>
      <c r="D31" s="3"/>
      <c r="E31" s="5"/>
      <c r="F31" s="5"/>
      <c r="G31" s="3"/>
      <c r="H31" s="3"/>
      <c r="I31" s="3"/>
      <c r="J31" s="3"/>
      <c r="K31" s="3"/>
      <c r="L31" s="5"/>
      <c r="M31" s="3"/>
      <c r="N31" s="3"/>
      <c r="O31" s="3"/>
    </row>
    <row r="32" spans="1:15" x14ac:dyDescent="0.3">
      <c r="A32" s="3"/>
      <c r="B32" s="3"/>
      <c r="C32" s="3"/>
      <c r="D32" s="3"/>
      <c r="E32" s="5"/>
      <c r="F32" s="5"/>
      <c r="G32" s="3"/>
      <c r="H32" s="3"/>
      <c r="I32" s="3"/>
      <c r="J32" s="3"/>
      <c r="K32" s="3"/>
      <c r="L32" s="5"/>
      <c r="M32" s="3"/>
      <c r="N32" s="3"/>
      <c r="O32" s="3"/>
    </row>
    <row r="33" spans="1:15" x14ac:dyDescent="0.3">
      <c r="A33" s="3"/>
      <c r="B33" s="3"/>
      <c r="C33" s="3"/>
      <c r="D33" s="3"/>
      <c r="E33" s="5"/>
      <c r="F33" s="5"/>
      <c r="G33" s="3"/>
      <c r="H33" s="3"/>
      <c r="I33" s="3"/>
      <c r="J33" s="3"/>
      <c r="K33" s="3"/>
      <c r="L33" s="5"/>
      <c r="M33" s="3"/>
      <c r="N33" s="3"/>
      <c r="O33" s="3"/>
    </row>
    <row r="34" spans="1:15" x14ac:dyDescent="0.3">
      <c r="A34" s="3"/>
      <c r="B34" s="3"/>
      <c r="C34" s="3"/>
      <c r="D34" s="3"/>
      <c r="E34" s="5"/>
      <c r="F34" s="5"/>
      <c r="G34" s="3"/>
      <c r="H34" s="3"/>
      <c r="I34" s="3"/>
      <c r="J34" s="3"/>
      <c r="K34" s="3"/>
      <c r="L34" s="5"/>
      <c r="M34" s="3"/>
      <c r="N34" s="3"/>
      <c r="O34" s="3"/>
    </row>
    <row r="35" spans="1:15" x14ac:dyDescent="0.3">
      <c r="A35" s="3"/>
      <c r="B35" s="3"/>
      <c r="C35" s="3"/>
      <c r="D35" s="3"/>
      <c r="E35" s="5"/>
      <c r="F35" s="5"/>
      <c r="G35" s="3"/>
      <c r="H35" s="3"/>
      <c r="I35" s="3"/>
      <c r="J35" s="3"/>
      <c r="K35" s="3"/>
      <c r="L35" s="5"/>
      <c r="M35" s="3"/>
      <c r="N35" s="3"/>
      <c r="O35" s="3"/>
    </row>
    <row r="36" spans="1:15" x14ac:dyDescent="0.3">
      <c r="A36" s="3"/>
      <c r="B36" s="3"/>
      <c r="C36" s="3"/>
      <c r="D36" s="3"/>
      <c r="E36" s="5"/>
      <c r="F36" s="5"/>
      <c r="G36" s="3"/>
      <c r="H36" s="3"/>
      <c r="I36" s="3"/>
      <c r="J36" s="3"/>
      <c r="K36" s="3"/>
      <c r="L36" s="5"/>
      <c r="M36" s="3"/>
      <c r="N36" s="3"/>
      <c r="O36" s="3"/>
    </row>
    <row r="37" spans="1:15" x14ac:dyDescent="0.3">
      <c r="A37" s="3"/>
      <c r="B37" s="3"/>
      <c r="C37" s="3"/>
      <c r="D37" s="3"/>
      <c r="E37" s="5"/>
      <c r="F37" s="5"/>
      <c r="G37" s="3"/>
      <c r="H37" s="3"/>
      <c r="I37" s="3"/>
      <c r="J37" s="3"/>
      <c r="K37" s="3"/>
      <c r="L37" s="5"/>
      <c r="M37" s="3"/>
      <c r="N37" s="3"/>
      <c r="O37" s="3"/>
    </row>
    <row r="38" spans="1:15" x14ac:dyDescent="0.3">
      <c r="A38" s="3"/>
      <c r="B38" s="3"/>
      <c r="C38" s="3"/>
      <c r="D38" s="3"/>
      <c r="E38" s="5"/>
      <c r="F38" s="5"/>
      <c r="G38" s="3"/>
      <c r="H38" s="3"/>
      <c r="I38" s="3"/>
      <c r="J38" s="3"/>
      <c r="K38" s="3"/>
      <c r="L38" s="5"/>
      <c r="M38" s="3"/>
      <c r="N38" s="3"/>
      <c r="O38" s="3"/>
    </row>
    <row r="39" spans="1:15" x14ac:dyDescent="0.3">
      <c r="A39" s="3"/>
      <c r="B39" s="3"/>
      <c r="C39" s="3"/>
      <c r="D39" s="3"/>
      <c r="E39" s="5"/>
      <c r="F39" s="5"/>
      <c r="G39" s="3"/>
      <c r="H39" s="3"/>
      <c r="I39" s="3"/>
      <c r="J39" s="3"/>
      <c r="K39" s="3"/>
      <c r="L39" s="5"/>
      <c r="M39" s="3"/>
      <c r="N39" s="3"/>
      <c r="O39" s="3"/>
    </row>
    <row r="40" spans="1:15" x14ac:dyDescent="0.3">
      <c r="A40" s="3"/>
      <c r="B40" s="3"/>
      <c r="C40" s="3"/>
      <c r="D40" s="3"/>
      <c r="E40" s="5"/>
      <c r="F40" s="5"/>
      <c r="G40" s="3"/>
      <c r="H40" s="3"/>
      <c r="I40" s="3"/>
      <c r="J40" s="3"/>
      <c r="K40" s="3"/>
      <c r="L40" s="5"/>
      <c r="M40" s="3"/>
      <c r="N40" s="3"/>
      <c r="O40" s="3"/>
    </row>
    <row r="41" spans="1:15" x14ac:dyDescent="0.3">
      <c r="A41" s="3"/>
      <c r="B41" s="3"/>
      <c r="C41" s="3"/>
      <c r="D41" s="3"/>
      <c r="E41" s="5"/>
      <c r="F41" s="5"/>
      <c r="G41" s="3"/>
      <c r="H41" s="3"/>
      <c r="I41" s="3"/>
      <c r="J41" s="3"/>
      <c r="K41" s="3"/>
      <c r="L41" s="5"/>
      <c r="M41" s="3"/>
      <c r="N41" s="3"/>
      <c r="O41" s="3"/>
    </row>
    <row r="42" spans="1:15" x14ac:dyDescent="0.3">
      <c r="A42" s="3"/>
      <c r="B42" s="3"/>
      <c r="C42" s="3"/>
      <c r="D42" s="3"/>
      <c r="E42" s="5"/>
      <c r="F42" s="5"/>
      <c r="G42" s="3"/>
      <c r="H42" s="3"/>
      <c r="I42" s="3"/>
      <c r="J42" s="3"/>
      <c r="K42" s="3"/>
      <c r="L42" s="5"/>
      <c r="M42" s="3"/>
      <c r="N42" s="3"/>
      <c r="O42" s="3"/>
    </row>
    <row r="43" spans="1:15" x14ac:dyDescent="0.3">
      <c r="A43" s="3"/>
      <c r="B43" s="3"/>
      <c r="C43" s="3"/>
      <c r="D43" s="3"/>
      <c r="E43" s="5"/>
      <c r="F43" s="5"/>
      <c r="G43" s="3"/>
      <c r="H43" s="3"/>
      <c r="I43" s="3"/>
      <c r="J43" s="3"/>
      <c r="K43" s="3"/>
      <c r="L43" s="5"/>
      <c r="M43" s="3"/>
      <c r="N43" s="3"/>
      <c r="O43" s="3"/>
    </row>
    <row r="44" spans="1:15" x14ac:dyDescent="0.3">
      <c r="A44" s="3"/>
      <c r="B44" s="3"/>
      <c r="C44" s="3"/>
      <c r="D44" s="3"/>
      <c r="E44" s="5"/>
      <c r="F44" s="5"/>
      <c r="G44" s="3"/>
      <c r="H44" s="3"/>
      <c r="I44" s="3"/>
      <c r="J44" s="3"/>
      <c r="K44" s="3"/>
      <c r="L44" s="5"/>
      <c r="M44" s="3"/>
      <c r="N44" s="3"/>
      <c r="O44" s="3"/>
    </row>
    <row r="45" spans="1:15" x14ac:dyDescent="0.3">
      <c r="A45" s="3"/>
      <c r="B45" s="3"/>
      <c r="C45" s="3"/>
      <c r="D45" s="3"/>
      <c r="E45" s="5"/>
      <c r="F45" s="5"/>
      <c r="G45" s="3"/>
      <c r="H45" s="3"/>
      <c r="I45" s="3"/>
      <c r="J45" s="3"/>
      <c r="K45" s="3"/>
      <c r="L45" s="5"/>
      <c r="M45" s="3"/>
      <c r="N45" s="3"/>
      <c r="O45" s="3"/>
    </row>
    <row r="46" spans="1:15" x14ac:dyDescent="0.3">
      <c r="A46" s="3"/>
      <c r="B46" s="3"/>
      <c r="C46" s="3"/>
      <c r="D46" s="3"/>
      <c r="E46" s="5"/>
      <c r="F46" s="5"/>
      <c r="G46" s="3"/>
      <c r="H46" s="3"/>
      <c r="I46" s="3"/>
      <c r="J46" s="3"/>
      <c r="K46" s="3"/>
      <c r="L46" s="5"/>
      <c r="M46" s="3"/>
      <c r="N46" s="3"/>
      <c r="O46" s="3"/>
    </row>
    <row r="47" spans="1:15" x14ac:dyDescent="0.3">
      <c r="A47" s="3"/>
      <c r="B47" s="3"/>
      <c r="C47" s="3"/>
      <c r="D47" s="3"/>
      <c r="E47" s="5"/>
      <c r="F47" s="5"/>
      <c r="G47" s="3"/>
      <c r="H47" s="3"/>
      <c r="I47" s="3"/>
      <c r="J47" s="3"/>
      <c r="K47" s="3"/>
      <c r="L47" s="5"/>
      <c r="M47" s="3"/>
      <c r="N47" s="3"/>
      <c r="O47" s="3"/>
    </row>
    <row r="48" spans="1:15" x14ac:dyDescent="0.3">
      <c r="A48" s="3"/>
      <c r="B48" s="3"/>
      <c r="C48" s="3"/>
      <c r="D48" s="3"/>
      <c r="E48" s="5"/>
      <c r="F48" s="5"/>
      <c r="G48" s="3"/>
      <c r="H48" s="3"/>
      <c r="I48" s="3"/>
      <c r="J48" s="3"/>
      <c r="K48" s="3"/>
      <c r="L48" s="5"/>
      <c r="M48" s="3"/>
      <c r="N48" s="3"/>
      <c r="O48" s="3"/>
    </row>
    <row r="49" spans="1:15" x14ac:dyDescent="0.3">
      <c r="A49" s="3"/>
      <c r="B49" s="3"/>
      <c r="C49" s="3"/>
      <c r="D49" s="3"/>
      <c r="E49" s="5"/>
      <c r="F49" s="5"/>
      <c r="G49" s="3"/>
      <c r="H49" s="3"/>
      <c r="I49" s="3"/>
      <c r="J49" s="3"/>
      <c r="K49" s="3"/>
      <c r="L49" s="5"/>
      <c r="M49" s="3"/>
      <c r="N49" s="3"/>
      <c r="O49" s="3"/>
    </row>
    <row r="50" spans="1:15" x14ac:dyDescent="0.3">
      <c r="A50" s="3"/>
      <c r="B50" s="3"/>
      <c r="C50" s="3"/>
      <c r="D50" s="3"/>
      <c r="E50" s="5"/>
      <c r="F50" s="5"/>
      <c r="G50" s="3"/>
      <c r="H50" s="3"/>
      <c r="I50" s="3"/>
      <c r="J50" s="3"/>
      <c r="K50" s="3"/>
      <c r="L50" s="5"/>
      <c r="M50" s="3"/>
      <c r="N50" s="3"/>
      <c r="O50" s="3"/>
    </row>
    <row r="51" spans="1:15" x14ac:dyDescent="0.3">
      <c r="A51" s="3"/>
      <c r="B51" s="3"/>
      <c r="C51" s="3"/>
      <c r="D51" s="3"/>
      <c r="E51" s="5"/>
      <c r="F51" s="5"/>
      <c r="G51" s="3"/>
      <c r="H51" s="3"/>
      <c r="I51" s="3"/>
      <c r="J51" s="3"/>
      <c r="K51" s="3"/>
      <c r="L51" s="5"/>
      <c r="M51" s="3"/>
      <c r="N51" s="3"/>
      <c r="O51" s="3"/>
    </row>
    <row r="52" spans="1:15" x14ac:dyDescent="0.3">
      <c r="A52" s="3"/>
      <c r="B52" s="3"/>
      <c r="C52" s="3"/>
      <c r="D52" s="3"/>
      <c r="E52" s="5"/>
      <c r="F52" s="5"/>
      <c r="G52" s="3"/>
      <c r="H52" s="3"/>
      <c r="I52" s="3"/>
      <c r="J52" s="3"/>
      <c r="K52" s="3"/>
      <c r="L52" s="5"/>
      <c r="M52" s="3"/>
      <c r="N52" s="3"/>
      <c r="O52" s="3"/>
    </row>
    <row r="53" spans="1:15" x14ac:dyDescent="0.3">
      <c r="A53" s="3"/>
      <c r="B53" s="3"/>
      <c r="C53" s="3"/>
      <c r="D53" s="3"/>
      <c r="E53" s="5"/>
      <c r="F53" s="5"/>
      <c r="G53" s="3"/>
      <c r="H53" s="3"/>
      <c r="I53" s="3"/>
      <c r="J53" s="3"/>
      <c r="K53" s="3"/>
      <c r="L53" s="5"/>
      <c r="M53" s="3"/>
      <c r="N53" s="3"/>
      <c r="O53" s="3"/>
    </row>
    <row r="54" spans="1:15" x14ac:dyDescent="0.3">
      <c r="A54" s="3"/>
      <c r="B54" s="3"/>
      <c r="C54" s="3"/>
      <c r="D54" s="3"/>
      <c r="E54" s="5"/>
      <c r="F54" s="5"/>
      <c r="G54" s="3"/>
      <c r="H54" s="3"/>
      <c r="I54" s="3"/>
      <c r="J54" s="3"/>
      <c r="K54" s="3"/>
      <c r="L54" s="5"/>
      <c r="M54" s="3"/>
      <c r="N54" s="3"/>
      <c r="O54" s="3"/>
    </row>
    <row r="55" spans="1:15" x14ac:dyDescent="0.3">
      <c r="A55" s="3"/>
      <c r="B55" s="3"/>
      <c r="C55" s="3"/>
      <c r="D55" s="3"/>
      <c r="E55" s="5"/>
      <c r="F55" s="5"/>
      <c r="G55" s="3"/>
      <c r="H55" s="3"/>
      <c r="I55" s="3"/>
      <c r="J55" s="3"/>
      <c r="K55" s="3"/>
      <c r="L55" s="5"/>
      <c r="M55" s="3"/>
      <c r="N55" s="3"/>
      <c r="O55" s="3"/>
    </row>
    <row r="56" spans="1:15" x14ac:dyDescent="0.3">
      <c r="A56" s="3"/>
      <c r="B56" s="3"/>
      <c r="C56" s="3"/>
      <c r="D56" s="3"/>
      <c r="E56" s="5"/>
      <c r="F56" s="5"/>
      <c r="G56" s="3"/>
      <c r="H56" s="3"/>
      <c r="I56" s="3"/>
      <c r="J56" s="3"/>
      <c r="K56" s="3"/>
      <c r="L56" s="5"/>
      <c r="M56" s="3"/>
      <c r="N56" s="3"/>
      <c r="O56" s="3"/>
    </row>
    <row r="57" spans="1:15" x14ac:dyDescent="0.3">
      <c r="A57" s="3"/>
      <c r="B57" s="3"/>
      <c r="C57" s="3"/>
      <c r="D57" s="3"/>
      <c r="E57" s="5"/>
      <c r="F57" s="5"/>
      <c r="G57" s="3"/>
      <c r="H57" s="3"/>
      <c r="I57" s="3"/>
      <c r="J57" s="3"/>
      <c r="K57" s="3"/>
      <c r="L57" s="5"/>
      <c r="M57" s="3"/>
      <c r="N57" s="3"/>
      <c r="O57" s="3"/>
    </row>
    <row r="58" spans="1:15" x14ac:dyDescent="0.3">
      <c r="A58" s="3"/>
      <c r="B58" s="3"/>
      <c r="C58" s="3"/>
      <c r="D58" s="3"/>
      <c r="E58" s="5"/>
      <c r="F58" s="5"/>
      <c r="G58" s="3"/>
      <c r="H58" s="3"/>
      <c r="I58" s="3"/>
      <c r="J58" s="3"/>
      <c r="K58" s="3"/>
      <c r="L58" s="5"/>
      <c r="M58" s="3"/>
      <c r="N58" s="3"/>
      <c r="O58" s="3"/>
    </row>
    <row r="59" spans="1:15" x14ac:dyDescent="0.3">
      <c r="A59" s="3"/>
      <c r="B59" s="3"/>
      <c r="C59" s="3"/>
      <c r="D59" s="3"/>
      <c r="E59" s="5"/>
      <c r="F59" s="5"/>
      <c r="G59" s="3"/>
      <c r="H59" s="3"/>
      <c r="I59" s="3"/>
      <c r="J59" s="3"/>
      <c r="K59" s="3"/>
      <c r="L59" s="5"/>
      <c r="M59" s="3"/>
      <c r="N59" s="3"/>
      <c r="O59" s="3"/>
    </row>
    <row r="60" spans="1:15" x14ac:dyDescent="0.3">
      <c r="A60" s="3"/>
      <c r="B60" s="3"/>
      <c r="C60" s="3"/>
      <c r="D60" s="3"/>
      <c r="E60" s="5"/>
      <c r="F60" s="5"/>
      <c r="G60" s="3"/>
      <c r="H60" s="3"/>
      <c r="I60" s="3"/>
      <c r="J60" s="3"/>
      <c r="K60" s="3"/>
      <c r="L60" s="5"/>
      <c r="M60" s="3"/>
      <c r="N60" s="3"/>
      <c r="O60" s="3"/>
    </row>
    <row r="61" spans="1:15" x14ac:dyDescent="0.3">
      <c r="A61" s="3"/>
      <c r="B61" s="3"/>
      <c r="C61" s="3"/>
      <c r="D61" s="3"/>
      <c r="E61" s="5"/>
      <c r="F61" s="5"/>
      <c r="G61" s="3"/>
      <c r="H61" s="3"/>
      <c r="I61" s="3"/>
      <c r="J61" s="3"/>
      <c r="K61" s="3"/>
      <c r="L61" s="5"/>
      <c r="M61" s="3"/>
      <c r="N61" s="3"/>
      <c r="O61" s="3"/>
    </row>
    <row r="62" spans="1:15" x14ac:dyDescent="0.3">
      <c r="A62" s="3"/>
      <c r="B62" s="3"/>
      <c r="C62" s="3"/>
      <c r="D62" s="3"/>
      <c r="E62" s="5"/>
      <c r="F62" s="5"/>
      <c r="G62" s="3"/>
      <c r="H62" s="3"/>
      <c r="I62" s="3"/>
      <c r="J62" s="3"/>
      <c r="K62" s="3"/>
      <c r="L62" s="5"/>
      <c r="M62" s="3"/>
      <c r="N62" s="3"/>
      <c r="O62" s="3"/>
    </row>
    <row r="63" spans="1:15" x14ac:dyDescent="0.3">
      <c r="A63" s="3"/>
      <c r="B63" s="3"/>
      <c r="C63" s="3"/>
      <c r="D63" s="3"/>
      <c r="E63" s="5"/>
      <c r="F63" s="5"/>
      <c r="G63" s="3"/>
      <c r="H63" s="3"/>
      <c r="I63" s="3"/>
      <c r="J63" s="3"/>
      <c r="K63" s="3"/>
      <c r="L63" s="5"/>
      <c r="M63" s="3"/>
      <c r="N63" s="3"/>
      <c r="O63" s="3"/>
    </row>
    <row r="64" spans="1:15" x14ac:dyDescent="0.3">
      <c r="A64" s="3"/>
      <c r="B64" s="3"/>
      <c r="C64" s="3"/>
      <c r="D64" s="3"/>
      <c r="E64" s="5"/>
      <c r="F64" s="5"/>
      <c r="G64" s="3"/>
      <c r="H64" s="3"/>
      <c r="I64" s="3"/>
      <c r="J64" s="3"/>
      <c r="K64" s="3"/>
      <c r="L64" s="5"/>
      <c r="M64" s="3"/>
      <c r="N64" s="3"/>
      <c r="O64" s="3"/>
    </row>
    <row r="65" spans="1:15" x14ac:dyDescent="0.3">
      <c r="A65" s="3"/>
      <c r="B65" s="3"/>
      <c r="C65" s="3"/>
      <c r="D65" s="3"/>
      <c r="E65" s="5"/>
      <c r="F65" s="5"/>
      <c r="G65" s="3"/>
      <c r="H65" s="3"/>
      <c r="I65" s="3"/>
      <c r="J65" s="3"/>
      <c r="K65" s="3"/>
      <c r="L65" s="5"/>
      <c r="M65" s="3"/>
      <c r="N65" s="3"/>
      <c r="O65" s="3"/>
    </row>
    <row r="66" spans="1:15" x14ac:dyDescent="0.3">
      <c r="A66" s="3"/>
      <c r="B66" s="3"/>
      <c r="C66" s="3"/>
      <c r="D66" s="3"/>
      <c r="E66" s="5"/>
      <c r="F66" s="5"/>
      <c r="G66" s="3"/>
      <c r="H66" s="3"/>
      <c r="I66" s="3"/>
      <c r="J66" s="3"/>
      <c r="K66" s="3"/>
      <c r="L66" s="5"/>
      <c r="M66" s="3"/>
      <c r="N66" s="3"/>
      <c r="O66" s="3"/>
    </row>
    <row r="67" spans="1:15" x14ac:dyDescent="0.3">
      <c r="A67" s="3"/>
      <c r="B67" s="3"/>
      <c r="C67" s="3"/>
      <c r="D67" s="3"/>
      <c r="E67" s="5"/>
      <c r="F67" s="5"/>
      <c r="G67" s="3"/>
      <c r="H67" s="3"/>
      <c r="I67" s="3"/>
      <c r="J67" s="3"/>
      <c r="K67" s="3"/>
      <c r="L67" s="5"/>
      <c r="M67" s="3"/>
      <c r="N67" s="3"/>
      <c r="O67" s="3"/>
    </row>
    <row r="68" spans="1:15" x14ac:dyDescent="0.3">
      <c r="A68" s="3"/>
      <c r="B68" s="3"/>
      <c r="C68" s="3"/>
      <c r="D68" s="3"/>
      <c r="E68" s="5"/>
      <c r="F68" s="5"/>
      <c r="G68" s="3"/>
      <c r="H68" s="3"/>
      <c r="I68" s="3"/>
      <c r="J68" s="3"/>
      <c r="K68" s="3"/>
      <c r="L68" s="5"/>
      <c r="M68" s="3"/>
      <c r="N68" s="3"/>
      <c r="O68" s="3"/>
    </row>
    <row r="69" spans="1:15" x14ac:dyDescent="0.3">
      <c r="A69" s="3"/>
      <c r="B69" s="3"/>
      <c r="C69" s="3"/>
      <c r="D69" s="3"/>
      <c r="E69" s="5"/>
      <c r="F69" s="5"/>
      <c r="G69" s="3"/>
      <c r="H69" s="3"/>
      <c r="I69" s="3"/>
      <c r="J69" s="3"/>
      <c r="K69" s="3"/>
      <c r="L69" s="5"/>
      <c r="M69" s="3"/>
      <c r="N69" s="3"/>
      <c r="O69" s="3"/>
    </row>
    <row r="70" spans="1:15" x14ac:dyDescent="0.3">
      <c r="A70" s="3"/>
      <c r="B70" s="3"/>
      <c r="C70" s="3"/>
      <c r="D70" s="3"/>
      <c r="E70" s="5"/>
      <c r="F70" s="5"/>
      <c r="G70" s="3"/>
      <c r="H70" s="3"/>
      <c r="I70" s="3"/>
      <c r="J70" s="3"/>
      <c r="K70" s="3"/>
      <c r="L70" s="5"/>
      <c r="M70" s="3"/>
      <c r="N70" s="3"/>
      <c r="O70" s="3"/>
    </row>
    <row r="71" spans="1:15" x14ac:dyDescent="0.3">
      <c r="A71" s="3"/>
      <c r="B71" s="3"/>
      <c r="C71" s="3"/>
      <c r="D71" s="3"/>
      <c r="E71" s="5"/>
      <c r="F71" s="5"/>
      <c r="G71" s="3"/>
      <c r="H71" s="3"/>
      <c r="I71" s="3"/>
      <c r="J71" s="3"/>
      <c r="K71" s="3"/>
      <c r="L71" s="5"/>
      <c r="M71" s="3"/>
      <c r="N71" s="3"/>
      <c r="O71" s="3"/>
    </row>
    <row r="72" spans="1:15" x14ac:dyDescent="0.3">
      <c r="A72" s="3"/>
      <c r="B72" s="3"/>
      <c r="C72" s="3"/>
      <c r="D72" s="3"/>
      <c r="E72" s="5"/>
      <c r="F72" s="5"/>
      <c r="G72" s="3"/>
      <c r="H72" s="3"/>
      <c r="I72" s="3"/>
      <c r="J72" s="3"/>
      <c r="K72" s="3"/>
      <c r="L72" s="5"/>
      <c r="M72" s="3"/>
      <c r="N72" s="3"/>
      <c r="O72" s="3"/>
    </row>
    <row r="73" spans="1:15" x14ac:dyDescent="0.3">
      <c r="A73" s="3"/>
      <c r="B73" s="3"/>
      <c r="C73" s="3"/>
      <c r="D73" s="3"/>
      <c r="E73" s="5"/>
      <c r="F73" s="5"/>
      <c r="G73" s="3"/>
      <c r="H73" s="3"/>
      <c r="I73" s="3"/>
      <c r="J73" s="3"/>
      <c r="K73" s="3"/>
      <c r="L73" s="5"/>
      <c r="M73" s="3"/>
      <c r="N73" s="3"/>
      <c r="O73" s="3"/>
    </row>
    <row r="74" spans="1:15" x14ac:dyDescent="0.3">
      <c r="A74" s="3"/>
      <c r="B74" s="3"/>
      <c r="C74" s="3"/>
      <c r="D74" s="3"/>
      <c r="E74" s="5"/>
      <c r="F74" s="5"/>
      <c r="G74" s="3"/>
      <c r="H74" s="3"/>
      <c r="I74" s="3"/>
      <c r="J74" s="3"/>
      <c r="K74" s="3"/>
      <c r="L74" s="5"/>
      <c r="M74" s="3"/>
      <c r="N74" s="3"/>
      <c r="O74" s="3"/>
    </row>
    <row r="75" spans="1:15" x14ac:dyDescent="0.3">
      <c r="A75" s="3"/>
      <c r="B75" s="3"/>
      <c r="C75" s="3"/>
      <c r="D75" s="3"/>
      <c r="E75" s="5"/>
      <c r="F75" s="5"/>
      <c r="G75" s="3"/>
      <c r="H75" s="3"/>
      <c r="I75" s="3"/>
      <c r="J75" s="3"/>
      <c r="K75" s="3"/>
      <c r="L75" s="5"/>
      <c r="M75" s="3"/>
      <c r="N75" s="3"/>
      <c r="O75" s="3"/>
    </row>
    <row r="76" spans="1:15" x14ac:dyDescent="0.3">
      <c r="A76" s="3"/>
      <c r="B76" s="3"/>
      <c r="C76" s="3"/>
      <c r="D76" s="3"/>
      <c r="E76" s="5"/>
      <c r="F76" s="5"/>
      <c r="G76" s="3"/>
      <c r="H76" s="3"/>
      <c r="I76" s="3"/>
      <c r="J76" s="3"/>
      <c r="K76" s="3"/>
      <c r="L76" s="5"/>
      <c r="M76" s="3"/>
      <c r="N76" s="3"/>
      <c r="O76" s="3"/>
    </row>
    <row r="77" spans="1:15" x14ac:dyDescent="0.3">
      <c r="A77" s="3"/>
      <c r="B77" s="3"/>
      <c r="C77" s="3"/>
      <c r="D77" s="3"/>
      <c r="E77" s="5"/>
      <c r="F77" s="5"/>
      <c r="G77" s="3"/>
      <c r="H77" s="3"/>
      <c r="I77" s="3"/>
      <c r="J77" s="3"/>
      <c r="K77" s="3"/>
      <c r="L77" s="5"/>
      <c r="M77" s="3"/>
      <c r="N77" s="3"/>
      <c r="O77" s="3"/>
    </row>
    <row r="78" spans="1:15" x14ac:dyDescent="0.3">
      <c r="A78" s="3"/>
      <c r="B78" s="3"/>
      <c r="C78" s="3"/>
      <c r="D78" s="3"/>
      <c r="E78" s="5"/>
      <c r="F78" s="5"/>
      <c r="G78" s="3"/>
      <c r="H78" s="3"/>
      <c r="I78" s="3"/>
      <c r="J78" s="3"/>
      <c r="K78" s="3"/>
      <c r="L78" s="5"/>
      <c r="M78" s="3"/>
      <c r="N78" s="3"/>
      <c r="O78" s="3"/>
    </row>
    <row r="79" spans="1:15" x14ac:dyDescent="0.3">
      <c r="A79" s="3"/>
      <c r="B79" s="3"/>
      <c r="C79" s="3"/>
      <c r="D79" s="3"/>
      <c r="E79" s="5"/>
      <c r="F79" s="5"/>
      <c r="G79" s="3"/>
      <c r="H79" s="3"/>
      <c r="I79" s="3"/>
      <c r="J79" s="3"/>
      <c r="K79" s="3"/>
      <c r="L79" s="5"/>
      <c r="M79" s="3"/>
      <c r="N79" s="3"/>
      <c r="O79" s="3"/>
    </row>
    <row r="80" spans="1:15" x14ac:dyDescent="0.3">
      <c r="A80" s="3"/>
      <c r="B80" s="3"/>
      <c r="C80" s="3"/>
      <c r="D80" s="3"/>
      <c r="E80" s="5"/>
      <c r="F80" s="5"/>
      <c r="G80" s="3"/>
      <c r="H80" s="3"/>
      <c r="I80" s="3"/>
      <c r="J80" s="3"/>
      <c r="K80" s="3"/>
      <c r="L80" s="5"/>
      <c r="M80" s="3"/>
      <c r="N80" s="3"/>
      <c r="O80" s="3"/>
    </row>
    <row r="81" spans="1:15" x14ac:dyDescent="0.3">
      <c r="A81" s="3"/>
      <c r="B81" s="3"/>
      <c r="C81" s="3"/>
      <c r="D81" s="3"/>
      <c r="E81" s="5"/>
      <c r="F81" s="5"/>
      <c r="G81" s="3"/>
      <c r="H81" s="3"/>
      <c r="I81" s="3"/>
      <c r="J81" s="3"/>
      <c r="K81" s="3"/>
      <c r="L81" s="5"/>
      <c r="M81" s="3"/>
      <c r="N81" s="3"/>
      <c r="O81" s="3"/>
    </row>
    <row r="82" spans="1:15" x14ac:dyDescent="0.3">
      <c r="A82" s="3"/>
      <c r="B82" s="3"/>
      <c r="C82" s="3"/>
      <c r="D82" s="3"/>
      <c r="E82" s="5"/>
      <c r="F82" s="5"/>
      <c r="G82" s="3"/>
      <c r="H82" s="3"/>
      <c r="I82" s="3"/>
      <c r="J82" s="3"/>
      <c r="K82" s="3"/>
      <c r="L82" s="5"/>
      <c r="M82" s="3"/>
      <c r="N82" s="3"/>
      <c r="O82" s="3"/>
    </row>
    <row r="83" spans="1:15" x14ac:dyDescent="0.3">
      <c r="A83" s="3"/>
      <c r="B83" s="3"/>
      <c r="C83" s="3"/>
      <c r="D83" s="3"/>
      <c r="E83" s="5"/>
      <c r="F83" s="5"/>
      <c r="G83" s="3"/>
      <c r="H83" s="3"/>
      <c r="I83" s="3"/>
      <c r="J83" s="3"/>
      <c r="K83" s="3"/>
      <c r="L83" s="5"/>
      <c r="M83" s="3"/>
      <c r="N83" s="3"/>
      <c r="O83" s="3"/>
    </row>
    <row r="84" spans="1:15" x14ac:dyDescent="0.3">
      <c r="A84" s="3"/>
      <c r="B84" s="3"/>
      <c r="C84" s="3"/>
      <c r="D84" s="3"/>
      <c r="E84" s="5"/>
      <c r="F84" s="5"/>
      <c r="G84" s="3"/>
      <c r="H84" s="3"/>
      <c r="I84" s="3"/>
      <c r="J84" s="3"/>
      <c r="K84" s="3"/>
      <c r="L84" s="5"/>
      <c r="M84" s="3"/>
      <c r="N84" s="3"/>
      <c r="O84" s="3"/>
    </row>
    <row r="85" spans="1:15" x14ac:dyDescent="0.3">
      <c r="A85" s="3"/>
      <c r="B85" s="3"/>
      <c r="C85" s="3"/>
      <c r="D85" s="3"/>
      <c r="E85" s="5"/>
      <c r="F85" s="5"/>
      <c r="G85" s="3"/>
      <c r="H85" s="3"/>
      <c r="I85" s="3"/>
      <c r="J85" s="3"/>
      <c r="K85" s="3"/>
      <c r="L85" s="5"/>
      <c r="M85" s="3"/>
      <c r="N85" s="3"/>
      <c r="O85" s="3"/>
    </row>
    <row r="86" spans="1:15" x14ac:dyDescent="0.3">
      <c r="A86" s="3"/>
      <c r="B86" s="3"/>
      <c r="C86" s="3"/>
      <c r="D86" s="3"/>
      <c r="E86" s="5"/>
      <c r="F86" s="5"/>
      <c r="G86" s="3"/>
      <c r="H86" s="3"/>
      <c r="I86" s="3"/>
      <c r="J86" s="3"/>
      <c r="K86" s="3"/>
      <c r="L86" s="5"/>
      <c r="M86" s="3"/>
      <c r="N86" s="3"/>
      <c r="O86" s="3"/>
    </row>
    <row r="87" spans="1:15" x14ac:dyDescent="0.3">
      <c r="A87" s="3"/>
      <c r="B87" s="3"/>
      <c r="C87" s="3"/>
      <c r="D87" s="3"/>
      <c r="E87" s="5"/>
      <c r="F87" s="5"/>
      <c r="G87" s="3"/>
      <c r="H87" s="3"/>
      <c r="I87" s="3"/>
      <c r="J87" s="3"/>
      <c r="K87" s="3"/>
      <c r="L87" s="5"/>
      <c r="M87" s="3"/>
      <c r="N87" s="3"/>
      <c r="O87" s="3"/>
    </row>
    <row r="88" spans="1:15" x14ac:dyDescent="0.3">
      <c r="A88" s="3"/>
      <c r="B88" s="3"/>
      <c r="C88" s="3"/>
      <c r="D88" s="3"/>
      <c r="E88" s="5"/>
      <c r="F88" s="5"/>
      <c r="G88" s="3"/>
      <c r="H88" s="3"/>
      <c r="I88" s="3"/>
      <c r="J88" s="3"/>
      <c r="K88" s="3"/>
      <c r="L88" s="5"/>
      <c r="M88" s="3"/>
      <c r="N88" s="3"/>
      <c r="O88" s="3"/>
    </row>
    <row r="89" spans="1:15" x14ac:dyDescent="0.3">
      <c r="A89" s="3"/>
      <c r="B89" s="3"/>
      <c r="C89" s="3"/>
      <c r="D89" s="3"/>
      <c r="E89" s="5"/>
      <c r="F89" s="5"/>
      <c r="G89" s="3"/>
      <c r="H89" s="3"/>
      <c r="I89" s="3"/>
      <c r="J89" s="3"/>
      <c r="K89" s="3"/>
      <c r="L89" s="5"/>
      <c r="M89" s="3"/>
      <c r="N89" s="3"/>
      <c r="O89" s="3"/>
    </row>
    <row r="90" spans="1:15" x14ac:dyDescent="0.3">
      <c r="A90" s="3"/>
      <c r="B90" s="3"/>
      <c r="C90" s="3"/>
      <c r="D90" s="3"/>
      <c r="E90" s="5"/>
      <c r="F90" s="5"/>
      <c r="G90" s="3"/>
      <c r="H90" s="3"/>
      <c r="I90" s="3"/>
      <c r="J90" s="3"/>
      <c r="K90" s="3"/>
      <c r="L90" s="5"/>
      <c r="M90" s="3"/>
      <c r="N90" s="3"/>
      <c r="O90" s="3"/>
    </row>
    <row r="91" spans="1:15" x14ac:dyDescent="0.3">
      <c r="A91" s="3"/>
      <c r="B91" s="3"/>
      <c r="C91" s="3"/>
      <c r="D91" s="3"/>
      <c r="E91" s="5"/>
      <c r="F91" s="5"/>
      <c r="G91" s="3"/>
      <c r="H91" s="3"/>
      <c r="I91" s="3"/>
      <c r="J91" s="3"/>
      <c r="K91" s="3"/>
      <c r="L91" s="5"/>
      <c r="M91" s="3"/>
      <c r="N91" s="3"/>
      <c r="O91" s="3"/>
    </row>
    <row r="92" spans="1:15" x14ac:dyDescent="0.3">
      <c r="A92" s="3"/>
      <c r="B92" s="3"/>
      <c r="C92" s="3"/>
      <c r="D92" s="3"/>
      <c r="E92" s="5"/>
      <c r="F92" s="5"/>
      <c r="G92" s="3"/>
      <c r="H92" s="3"/>
      <c r="I92" s="3"/>
      <c r="J92" s="3"/>
      <c r="K92" s="3"/>
      <c r="L92" s="5"/>
      <c r="M92" s="3"/>
      <c r="N92" s="3"/>
      <c r="O92" s="3"/>
    </row>
    <row r="93" spans="1:15" x14ac:dyDescent="0.3">
      <c r="A93" s="3"/>
      <c r="B93" s="3"/>
      <c r="C93" s="3"/>
      <c r="D93" s="3"/>
      <c r="E93" s="5"/>
      <c r="F93" s="5"/>
      <c r="G93" s="3"/>
      <c r="H93" s="3"/>
      <c r="I93" s="3"/>
      <c r="J93" s="3"/>
      <c r="K93" s="3"/>
      <c r="L93" s="5"/>
      <c r="M93" s="3"/>
      <c r="N93" s="3"/>
      <c r="O93" s="3"/>
    </row>
    <row r="94" spans="1:15" x14ac:dyDescent="0.3">
      <c r="A94" s="3"/>
      <c r="B94" s="3"/>
      <c r="C94" s="3"/>
      <c r="D94" s="3"/>
      <c r="E94" s="5"/>
      <c r="F94" s="5"/>
      <c r="G94" s="3"/>
      <c r="H94" s="3"/>
      <c r="I94" s="3"/>
      <c r="J94" s="3"/>
      <c r="K94" s="3"/>
      <c r="L94" s="5"/>
      <c r="M94" s="3"/>
      <c r="N94" s="3"/>
      <c r="O94" s="3"/>
    </row>
    <row r="95" spans="1:15" x14ac:dyDescent="0.3">
      <c r="A95" s="3"/>
      <c r="B95" s="3"/>
      <c r="C95" s="3"/>
      <c r="D95" s="3"/>
      <c r="E95" s="5"/>
      <c r="F95" s="5"/>
      <c r="G95" s="3"/>
      <c r="H95" s="3"/>
      <c r="I95" s="3"/>
      <c r="J95" s="3"/>
      <c r="K95" s="3"/>
      <c r="L95" s="5"/>
      <c r="M95" s="3"/>
      <c r="N95" s="3"/>
      <c r="O95" s="3"/>
    </row>
    <row r="96" spans="1:15" x14ac:dyDescent="0.3">
      <c r="A96" s="3"/>
      <c r="B96" s="3"/>
      <c r="C96" s="3"/>
      <c r="D96" s="3"/>
      <c r="E96" s="5"/>
      <c r="F96" s="5"/>
      <c r="G96" s="3"/>
      <c r="H96" s="3"/>
      <c r="I96" s="3"/>
      <c r="J96" s="3"/>
      <c r="K96" s="3"/>
      <c r="L96" s="5"/>
      <c r="M96" s="3"/>
      <c r="N96" s="3"/>
      <c r="O96" s="3"/>
    </row>
    <row r="97" spans="1:15" x14ac:dyDescent="0.3">
      <c r="A97" s="3"/>
      <c r="B97" s="3"/>
      <c r="C97" s="3"/>
      <c r="D97" s="3"/>
      <c r="E97" s="5"/>
      <c r="F97" s="5"/>
      <c r="G97" s="3"/>
      <c r="H97" s="3"/>
      <c r="I97" s="3"/>
      <c r="J97" s="3"/>
      <c r="K97" s="3"/>
      <c r="L97" s="5"/>
      <c r="M97" s="3"/>
      <c r="N97" s="3"/>
      <c r="O97" s="3"/>
    </row>
    <row r="98" spans="1:15" x14ac:dyDescent="0.3">
      <c r="A98" s="3"/>
      <c r="B98" s="3"/>
      <c r="C98" s="3"/>
      <c r="D98" s="3"/>
      <c r="E98" s="5"/>
      <c r="F98" s="5"/>
      <c r="G98" s="3"/>
      <c r="H98" s="3"/>
      <c r="I98" s="3"/>
      <c r="J98" s="3"/>
      <c r="K98" s="3"/>
      <c r="L98" s="5"/>
      <c r="M98" s="3"/>
      <c r="N98" s="3"/>
      <c r="O98" s="3"/>
    </row>
    <row r="99" spans="1:15" x14ac:dyDescent="0.3">
      <c r="A99" s="3"/>
      <c r="B99" s="3"/>
      <c r="C99" s="3"/>
      <c r="D99" s="3"/>
      <c r="E99" s="5"/>
      <c r="F99" s="5"/>
      <c r="G99" s="3"/>
      <c r="H99" s="3"/>
      <c r="I99" s="3"/>
      <c r="J99" s="3"/>
      <c r="K99" s="3"/>
      <c r="L99" s="5"/>
      <c r="M99" s="3"/>
      <c r="N99" s="3"/>
      <c r="O99" s="3"/>
    </row>
    <row r="100" spans="1:15" x14ac:dyDescent="0.3">
      <c r="A100" s="3"/>
      <c r="B100" s="3"/>
      <c r="C100" s="3"/>
      <c r="D100" s="3"/>
      <c r="E100" s="5"/>
      <c r="F100" s="5"/>
      <c r="G100" s="3"/>
      <c r="H100" s="3"/>
      <c r="I100" s="3"/>
      <c r="J100" s="3"/>
      <c r="K100" s="3"/>
      <c r="L100" s="5"/>
      <c r="M100" s="3"/>
      <c r="N100" s="3"/>
      <c r="O100" s="3"/>
    </row>
  </sheetData>
  <conditionalFormatting sqref="E2:E200">
    <cfRule type="cellIs" dxfId="5" priority="1" operator="equal">
      <formula>"Critical"</formula>
    </cfRule>
    <cfRule type="cellIs" dxfId="4" priority="2" operator="equal">
      <formula>"Major"</formula>
    </cfRule>
  </conditionalFormatting>
  <conditionalFormatting sqref="F2:F200">
    <cfRule type="cellIs" dxfId="3" priority="3" operator="equal">
      <formula>"High"</formula>
    </cfRule>
  </conditionalFormatting>
  <conditionalFormatting sqref="L2:L200">
    <cfRule type="cellIs" dxfId="2" priority="4" operator="equal">
      <formula>"Closed"</formula>
    </cfRule>
  </conditionalFormatting>
  <dataValidations count="3">
    <dataValidation type="list" allowBlank="1" sqref="L2:L200" xr:uid="{00000000-0002-0000-0800-000000000000}">
      <formula1>"Open,In Progress,Retest,Closed,Deferred"</formula1>
    </dataValidation>
    <dataValidation type="list" allowBlank="1" sqref="E2:E200" xr:uid="{00000000-0002-0000-0800-000001000000}">
      <formula1>"Critical,Major,Minor,Low"</formula1>
    </dataValidation>
    <dataValidation type="list" allowBlank="1" sqref="F2:F200" xr:uid="{00000000-0002-0000-0800-000002000000}">
      <formula1>"High,Medium,Low"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138"/>
  <sheetViews>
    <sheetView showGridLines="0" topLeftCell="B1" workbookViewId="0">
      <pane ySplit="1" topLeftCell="A68" activePane="bottomLeft" state="frozen"/>
      <selection pane="bottomLeft" activeCell="L41" sqref="L41"/>
    </sheetView>
  </sheetViews>
  <sheetFormatPr defaultRowHeight="14.4" x14ac:dyDescent="0.3"/>
  <cols>
    <col min="1" max="1" width="16" customWidth="1"/>
    <col min="2" max="2" width="20" customWidth="1"/>
    <col min="3" max="3" width="18" customWidth="1"/>
    <col min="4" max="4" width="16" customWidth="1"/>
    <col min="5" max="5" width="34" customWidth="1"/>
    <col min="6" max="6" width="11" customWidth="1"/>
    <col min="7" max="7" width="14" customWidth="1"/>
    <col min="8" max="8" width="18" customWidth="1"/>
    <col min="9" max="9" width="24" customWidth="1"/>
    <col min="10" max="10" width="18" customWidth="1"/>
    <col min="11" max="11" width="24" customWidth="1"/>
  </cols>
  <sheetData>
    <row r="1" spans="1:11" ht="28.8" x14ac:dyDescent="0.3">
      <c r="A1" s="2" t="s">
        <v>834</v>
      </c>
      <c r="B1" s="2" t="s">
        <v>835</v>
      </c>
      <c r="C1" s="2" t="s">
        <v>836</v>
      </c>
      <c r="D1" s="2" t="s">
        <v>31</v>
      </c>
      <c r="E1" s="2" t="s">
        <v>34</v>
      </c>
      <c r="F1" s="2" t="s">
        <v>35</v>
      </c>
      <c r="G1" s="2" t="s">
        <v>37</v>
      </c>
      <c r="H1" s="2" t="s">
        <v>837</v>
      </c>
      <c r="I1" s="2" t="s">
        <v>838</v>
      </c>
      <c r="J1" s="2" t="s">
        <v>839</v>
      </c>
      <c r="K1" s="2" t="s">
        <v>820</v>
      </c>
    </row>
    <row r="2" spans="1:11" x14ac:dyDescent="0.3">
      <c r="A2" s="3" t="s">
        <v>840</v>
      </c>
      <c r="B2" s="3" t="s">
        <v>7</v>
      </c>
      <c r="C2" s="3" t="s">
        <v>7</v>
      </c>
      <c r="D2" s="3" t="s">
        <v>45</v>
      </c>
      <c r="E2" s="3" t="s">
        <v>47</v>
      </c>
      <c r="F2" s="5" t="s">
        <v>48</v>
      </c>
      <c r="G2" s="5" t="s">
        <v>3</v>
      </c>
      <c r="H2" s="5" t="s">
        <v>53</v>
      </c>
      <c r="I2" s="3" t="s">
        <v>841</v>
      </c>
      <c r="J2" s="5" t="s">
        <v>842</v>
      </c>
      <c r="K2" s="3"/>
    </row>
    <row r="3" spans="1:11" x14ac:dyDescent="0.3">
      <c r="A3" s="3" t="s">
        <v>843</v>
      </c>
      <c r="B3" s="3" t="s">
        <v>7</v>
      </c>
      <c r="C3" s="3" t="s">
        <v>7</v>
      </c>
      <c r="D3" s="3" t="s">
        <v>57</v>
      </c>
      <c r="E3" s="3" t="s">
        <v>59</v>
      </c>
      <c r="F3" s="5" t="s">
        <v>48</v>
      </c>
      <c r="G3" s="5" t="s">
        <v>3</v>
      </c>
      <c r="H3" s="5" t="s">
        <v>53</v>
      </c>
      <c r="I3" s="3" t="s">
        <v>841</v>
      </c>
      <c r="J3" s="5" t="s">
        <v>842</v>
      </c>
      <c r="K3" s="3"/>
    </row>
    <row r="4" spans="1:11" x14ac:dyDescent="0.3">
      <c r="A4" s="3" t="s">
        <v>844</v>
      </c>
      <c r="B4" s="3" t="s">
        <v>7</v>
      </c>
      <c r="C4" s="3" t="s">
        <v>7</v>
      </c>
      <c r="D4" s="3" t="s">
        <v>65</v>
      </c>
      <c r="E4" s="3" t="s">
        <v>66</v>
      </c>
      <c r="F4" s="5" t="s">
        <v>67</v>
      </c>
      <c r="G4" s="5" t="s">
        <v>4</v>
      </c>
      <c r="H4" s="5" t="s">
        <v>53</v>
      </c>
      <c r="I4" s="3" t="s">
        <v>841</v>
      </c>
      <c r="J4" s="5" t="s">
        <v>842</v>
      </c>
      <c r="K4" s="3"/>
    </row>
    <row r="5" spans="1:11" x14ac:dyDescent="0.3">
      <c r="A5" s="3" t="s">
        <v>845</v>
      </c>
      <c r="B5" s="3" t="s">
        <v>7</v>
      </c>
      <c r="C5" s="3" t="s">
        <v>7</v>
      </c>
      <c r="D5" s="3" t="s">
        <v>71</v>
      </c>
      <c r="E5" s="3" t="s">
        <v>72</v>
      </c>
      <c r="F5" s="5" t="s">
        <v>67</v>
      </c>
      <c r="G5" s="5" t="s">
        <v>4</v>
      </c>
      <c r="H5" s="5" t="s">
        <v>53</v>
      </c>
      <c r="I5" s="3" t="s">
        <v>841</v>
      </c>
      <c r="J5" s="5" t="s">
        <v>842</v>
      </c>
      <c r="K5" s="3"/>
    </row>
    <row r="6" spans="1:11" x14ac:dyDescent="0.3">
      <c r="A6" s="3" t="s">
        <v>846</v>
      </c>
      <c r="B6" s="3" t="s">
        <v>7</v>
      </c>
      <c r="C6" s="3" t="s">
        <v>7</v>
      </c>
      <c r="D6" s="3" t="s">
        <v>75</v>
      </c>
      <c r="E6" s="3" t="s">
        <v>76</v>
      </c>
      <c r="F6" s="5" t="s">
        <v>67</v>
      </c>
      <c r="G6" s="5" t="s">
        <v>4</v>
      </c>
      <c r="H6" s="5" t="s">
        <v>53</v>
      </c>
      <c r="I6" s="3" t="s">
        <v>841</v>
      </c>
      <c r="J6" s="5" t="s">
        <v>842</v>
      </c>
      <c r="K6" s="3"/>
    </row>
    <row r="7" spans="1:11" x14ac:dyDescent="0.3">
      <c r="A7" s="3" t="s">
        <v>847</v>
      </c>
      <c r="B7" s="3" t="s">
        <v>7</v>
      </c>
      <c r="C7" s="3" t="s">
        <v>7</v>
      </c>
      <c r="D7" s="3" t="s">
        <v>79</v>
      </c>
      <c r="E7" s="3" t="s">
        <v>80</v>
      </c>
      <c r="F7" s="5" t="s">
        <v>48</v>
      </c>
      <c r="G7" s="5" t="s">
        <v>3</v>
      </c>
      <c r="H7" s="5" t="s">
        <v>53</v>
      </c>
      <c r="I7" s="3" t="s">
        <v>841</v>
      </c>
      <c r="J7" s="5" t="s">
        <v>842</v>
      </c>
      <c r="K7" s="3"/>
    </row>
    <row r="8" spans="1:11" x14ac:dyDescent="0.3">
      <c r="A8" s="3" t="s">
        <v>848</v>
      </c>
      <c r="B8" s="3" t="s">
        <v>7</v>
      </c>
      <c r="C8" s="3" t="s">
        <v>7</v>
      </c>
      <c r="D8" s="3" t="s">
        <v>83</v>
      </c>
      <c r="E8" s="3" t="s">
        <v>84</v>
      </c>
      <c r="F8" s="5" t="s">
        <v>67</v>
      </c>
      <c r="G8" s="5" t="s">
        <v>4</v>
      </c>
      <c r="H8" s="5" t="s">
        <v>53</v>
      </c>
      <c r="I8" s="3" t="s">
        <v>841</v>
      </c>
      <c r="J8" s="5" t="s">
        <v>842</v>
      </c>
      <c r="K8" s="3"/>
    </row>
    <row r="9" spans="1:11" x14ac:dyDescent="0.3">
      <c r="A9" s="3" t="s">
        <v>849</v>
      </c>
      <c r="B9" s="3" t="s">
        <v>7</v>
      </c>
      <c r="C9" s="3" t="s">
        <v>7</v>
      </c>
      <c r="D9" s="3" t="s">
        <v>87</v>
      </c>
      <c r="E9" s="3" t="s">
        <v>89</v>
      </c>
      <c r="F9" s="5" t="s">
        <v>48</v>
      </c>
      <c r="G9" s="5" t="s">
        <v>3</v>
      </c>
      <c r="H9" s="5" t="s">
        <v>53</v>
      </c>
      <c r="I9" s="3" t="s">
        <v>841</v>
      </c>
      <c r="J9" s="5" t="s">
        <v>842</v>
      </c>
      <c r="K9" s="3"/>
    </row>
    <row r="10" spans="1:11" x14ac:dyDescent="0.3">
      <c r="A10" s="3" t="s">
        <v>850</v>
      </c>
      <c r="B10" s="3" t="s">
        <v>7</v>
      </c>
      <c r="C10" s="3" t="s">
        <v>7</v>
      </c>
      <c r="D10" s="3" t="s">
        <v>93</v>
      </c>
      <c r="E10" s="3" t="s">
        <v>94</v>
      </c>
      <c r="F10" s="5" t="s">
        <v>48</v>
      </c>
      <c r="G10" s="5" t="s">
        <v>3</v>
      </c>
      <c r="H10" s="5" t="s">
        <v>53</v>
      </c>
      <c r="I10" s="3" t="s">
        <v>841</v>
      </c>
      <c r="J10" s="5" t="s">
        <v>842</v>
      </c>
      <c r="K10" s="3"/>
    </row>
    <row r="11" spans="1:11" x14ac:dyDescent="0.3">
      <c r="A11" s="3" t="s">
        <v>851</v>
      </c>
      <c r="B11" s="3" t="s">
        <v>7</v>
      </c>
      <c r="C11" s="3" t="s">
        <v>7</v>
      </c>
      <c r="D11" s="3" t="s">
        <v>98</v>
      </c>
      <c r="E11" s="3" t="s">
        <v>99</v>
      </c>
      <c r="F11" s="5" t="s">
        <v>48</v>
      </c>
      <c r="G11" s="5" t="s">
        <v>3</v>
      </c>
      <c r="H11" s="5" t="s">
        <v>53</v>
      </c>
      <c r="I11" s="3" t="s">
        <v>841</v>
      </c>
      <c r="J11" s="5" t="s">
        <v>842</v>
      </c>
      <c r="K11" s="3"/>
    </row>
    <row r="12" spans="1:11" x14ac:dyDescent="0.3">
      <c r="A12" s="3" t="s">
        <v>852</v>
      </c>
      <c r="B12" s="3" t="s">
        <v>7</v>
      </c>
      <c r="C12" s="3" t="s">
        <v>7</v>
      </c>
      <c r="D12" s="3" t="s">
        <v>103</v>
      </c>
      <c r="E12" s="3" t="s">
        <v>104</v>
      </c>
      <c r="F12" s="5" t="s">
        <v>67</v>
      </c>
      <c r="G12" s="5" t="s">
        <v>4</v>
      </c>
      <c r="H12" s="5" t="s">
        <v>53</v>
      </c>
      <c r="I12" s="3" t="s">
        <v>841</v>
      </c>
      <c r="J12" s="5" t="s">
        <v>842</v>
      </c>
      <c r="K12" s="3"/>
    </row>
    <row r="13" spans="1:11" x14ac:dyDescent="0.3">
      <c r="A13" s="3" t="s">
        <v>853</v>
      </c>
      <c r="B13" s="3" t="s">
        <v>7</v>
      </c>
      <c r="C13" s="3" t="s">
        <v>7</v>
      </c>
      <c r="D13" s="3" t="s">
        <v>108</v>
      </c>
      <c r="E13" s="3" t="s">
        <v>109</v>
      </c>
      <c r="F13" s="5" t="s">
        <v>110</v>
      </c>
      <c r="G13" s="5" t="s">
        <v>4</v>
      </c>
      <c r="H13" s="5" t="s">
        <v>53</v>
      </c>
      <c r="I13" s="3" t="s">
        <v>841</v>
      </c>
      <c r="J13" s="5" t="s">
        <v>842</v>
      </c>
      <c r="K13" s="3"/>
    </row>
    <row r="14" spans="1:11" x14ac:dyDescent="0.3">
      <c r="A14" s="3" t="s">
        <v>854</v>
      </c>
      <c r="B14" s="3" t="s">
        <v>7</v>
      </c>
      <c r="C14" s="3" t="s">
        <v>7</v>
      </c>
      <c r="D14" s="3" t="s">
        <v>115</v>
      </c>
      <c r="E14" s="3" t="s">
        <v>117</v>
      </c>
      <c r="F14" s="5" t="s">
        <v>110</v>
      </c>
      <c r="G14" s="5" t="s">
        <v>4</v>
      </c>
      <c r="H14" s="5" t="s">
        <v>53</v>
      </c>
      <c r="I14" s="3" t="s">
        <v>841</v>
      </c>
      <c r="J14" s="5" t="s">
        <v>842</v>
      </c>
      <c r="K14" s="3"/>
    </row>
    <row r="15" spans="1:11" ht="28.8" x14ac:dyDescent="0.3">
      <c r="A15" s="3" t="s">
        <v>855</v>
      </c>
      <c r="B15" s="3" t="s">
        <v>7</v>
      </c>
      <c r="C15" s="3" t="s">
        <v>7</v>
      </c>
      <c r="D15" s="3" t="s">
        <v>121</v>
      </c>
      <c r="E15" s="3" t="s">
        <v>123</v>
      </c>
      <c r="F15" s="5" t="s">
        <v>110</v>
      </c>
      <c r="G15" s="5" t="s">
        <v>4</v>
      </c>
      <c r="H15" s="5" t="s">
        <v>53</v>
      </c>
      <c r="I15" s="3" t="s">
        <v>841</v>
      </c>
      <c r="J15" s="5" t="s">
        <v>842</v>
      </c>
      <c r="K15" s="3"/>
    </row>
    <row r="16" spans="1:11" x14ac:dyDescent="0.3">
      <c r="A16" s="3" t="s">
        <v>856</v>
      </c>
      <c r="B16" s="3" t="s">
        <v>7</v>
      </c>
      <c r="C16" s="3" t="s">
        <v>7</v>
      </c>
      <c r="D16" s="3" t="s">
        <v>127</v>
      </c>
      <c r="E16" s="3" t="s">
        <v>129</v>
      </c>
      <c r="F16" s="5" t="s">
        <v>67</v>
      </c>
      <c r="G16" s="5" t="s">
        <v>4</v>
      </c>
      <c r="H16" s="5" t="s">
        <v>53</v>
      </c>
      <c r="I16" s="3" t="s">
        <v>841</v>
      </c>
      <c r="J16" s="5" t="s">
        <v>842</v>
      </c>
      <c r="K16" s="3"/>
    </row>
    <row r="17" spans="1:11" x14ac:dyDescent="0.3">
      <c r="A17" s="3" t="s">
        <v>857</v>
      </c>
      <c r="B17" s="3" t="s">
        <v>7</v>
      </c>
      <c r="C17" s="3" t="s">
        <v>7</v>
      </c>
      <c r="D17" s="3" t="s">
        <v>134</v>
      </c>
      <c r="E17" s="3" t="s">
        <v>136</v>
      </c>
      <c r="F17" s="5" t="s">
        <v>110</v>
      </c>
      <c r="G17" s="5" t="s">
        <v>4</v>
      </c>
      <c r="H17" s="5" t="s">
        <v>53</v>
      </c>
      <c r="I17" s="3" t="s">
        <v>841</v>
      </c>
      <c r="J17" s="5" t="s">
        <v>842</v>
      </c>
      <c r="K17" s="3"/>
    </row>
    <row r="18" spans="1:11" ht="28.8" x14ac:dyDescent="0.3">
      <c r="A18" s="3" t="s">
        <v>858</v>
      </c>
      <c r="B18" s="3" t="s">
        <v>7</v>
      </c>
      <c r="C18" s="3" t="s">
        <v>7</v>
      </c>
      <c r="D18" s="3" t="s">
        <v>140</v>
      </c>
      <c r="E18" s="3" t="s">
        <v>142</v>
      </c>
      <c r="F18" s="5" t="s">
        <v>67</v>
      </c>
      <c r="G18" s="5" t="s">
        <v>4</v>
      </c>
      <c r="H18" s="5" t="s">
        <v>53</v>
      </c>
      <c r="I18" s="3" t="s">
        <v>841</v>
      </c>
      <c r="J18" s="5" t="s">
        <v>842</v>
      </c>
      <c r="K18" s="3"/>
    </row>
    <row r="19" spans="1:11" x14ac:dyDescent="0.3">
      <c r="A19" s="3" t="s">
        <v>859</v>
      </c>
      <c r="B19" s="3" t="s">
        <v>7</v>
      </c>
      <c r="C19" s="3" t="s">
        <v>7</v>
      </c>
      <c r="D19" s="3" t="s">
        <v>146</v>
      </c>
      <c r="E19" s="3" t="s">
        <v>148</v>
      </c>
      <c r="F19" s="5" t="s">
        <v>67</v>
      </c>
      <c r="G19" s="5" t="s">
        <v>4</v>
      </c>
      <c r="H19" s="5" t="s">
        <v>53</v>
      </c>
      <c r="I19" s="3" t="s">
        <v>841</v>
      </c>
      <c r="J19" s="5" t="s">
        <v>842</v>
      </c>
      <c r="K19" s="3"/>
    </row>
    <row r="20" spans="1:11" x14ac:dyDescent="0.3">
      <c r="A20" s="3" t="s">
        <v>860</v>
      </c>
      <c r="B20" s="3" t="s">
        <v>155</v>
      </c>
      <c r="C20" s="3" t="s">
        <v>9</v>
      </c>
      <c r="D20" s="3" t="s">
        <v>154</v>
      </c>
      <c r="E20" s="3" t="s">
        <v>156</v>
      </c>
      <c r="F20" s="5" t="s">
        <v>48</v>
      </c>
      <c r="G20" s="5" t="s">
        <v>3</v>
      </c>
      <c r="H20" s="5" t="s">
        <v>53</v>
      </c>
      <c r="I20" s="3" t="s">
        <v>861</v>
      </c>
      <c r="J20" s="5" t="s">
        <v>842</v>
      </c>
      <c r="K20" s="3"/>
    </row>
    <row r="21" spans="1:11" x14ac:dyDescent="0.3">
      <c r="A21" s="3" t="s">
        <v>862</v>
      </c>
      <c r="B21" s="3" t="s">
        <v>155</v>
      </c>
      <c r="C21" s="3" t="s">
        <v>9</v>
      </c>
      <c r="D21" s="3" t="s">
        <v>159</v>
      </c>
      <c r="E21" s="3" t="s">
        <v>161</v>
      </c>
      <c r="F21" s="5" t="s">
        <v>48</v>
      </c>
      <c r="G21" s="5" t="s">
        <v>4</v>
      </c>
      <c r="H21" s="5" t="s">
        <v>53</v>
      </c>
      <c r="I21" s="3" t="s">
        <v>861</v>
      </c>
      <c r="J21" s="5" t="s">
        <v>842</v>
      </c>
      <c r="K21" s="3"/>
    </row>
    <row r="22" spans="1:11" x14ac:dyDescent="0.3">
      <c r="A22" s="3" t="s">
        <v>863</v>
      </c>
      <c r="B22" s="3" t="s">
        <v>155</v>
      </c>
      <c r="C22" s="3" t="s">
        <v>9</v>
      </c>
      <c r="D22" s="3" t="s">
        <v>166</v>
      </c>
      <c r="E22" s="3" t="s">
        <v>167</v>
      </c>
      <c r="F22" s="5" t="s">
        <v>48</v>
      </c>
      <c r="G22" s="5" t="s">
        <v>4</v>
      </c>
      <c r="H22" s="5" t="s">
        <v>53</v>
      </c>
      <c r="I22" s="3" t="s">
        <v>861</v>
      </c>
      <c r="J22" s="5" t="s">
        <v>842</v>
      </c>
      <c r="K22" s="3"/>
    </row>
    <row r="23" spans="1:11" x14ac:dyDescent="0.3">
      <c r="A23" s="3" t="s">
        <v>864</v>
      </c>
      <c r="B23" s="3" t="s">
        <v>155</v>
      </c>
      <c r="C23" s="3" t="s">
        <v>9</v>
      </c>
      <c r="D23" s="3" t="s">
        <v>170</v>
      </c>
      <c r="E23" s="3" t="s">
        <v>171</v>
      </c>
      <c r="F23" s="5" t="s">
        <v>48</v>
      </c>
      <c r="G23" s="5" t="s">
        <v>4</v>
      </c>
      <c r="H23" s="5" t="s">
        <v>53</v>
      </c>
      <c r="I23" s="3" t="s">
        <v>861</v>
      </c>
      <c r="J23" s="5" t="s">
        <v>842</v>
      </c>
      <c r="K23" s="3"/>
    </row>
    <row r="24" spans="1:11" x14ac:dyDescent="0.3">
      <c r="A24" s="3" t="s">
        <v>865</v>
      </c>
      <c r="B24" s="3" t="s">
        <v>155</v>
      </c>
      <c r="C24" s="3" t="s">
        <v>9</v>
      </c>
      <c r="D24" s="3" t="s">
        <v>174</v>
      </c>
      <c r="E24" s="3" t="s">
        <v>176</v>
      </c>
      <c r="F24" s="5" t="s">
        <v>48</v>
      </c>
      <c r="G24" s="5" t="s">
        <v>4</v>
      </c>
      <c r="H24" s="5" t="s">
        <v>53</v>
      </c>
      <c r="I24" s="3" t="s">
        <v>861</v>
      </c>
      <c r="J24" s="5" t="s">
        <v>842</v>
      </c>
      <c r="K24" s="3"/>
    </row>
    <row r="25" spans="1:11" x14ac:dyDescent="0.3">
      <c r="A25" s="3" t="s">
        <v>866</v>
      </c>
      <c r="B25" s="3" t="s">
        <v>155</v>
      </c>
      <c r="C25" s="3" t="s">
        <v>9</v>
      </c>
      <c r="D25" s="3" t="s">
        <v>180</v>
      </c>
      <c r="E25" s="3" t="s">
        <v>181</v>
      </c>
      <c r="F25" s="5" t="s">
        <v>48</v>
      </c>
      <c r="G25" s="5" t="s">
        <v>4</v>
      </c>
      <c r="H25" s="5" t="s">
        <v>53</v>
      </c>
      <c r="I25" s="3" t="s">
        <v>861</v>
      </c>
      <c r="J25" s="5" t="s">
        <v>842</v>
      </c>
      <c r="K25" s="3"/>
    </row>
    <row r="26" spans="1:11" x14ac:dyDescent="0.3">
      <c r="A26" s="3" t="s">
        <v>867</v>
      </c>
      <c r="B26" s="3" t="s">
        <v>155</v>
      </c>
      <c r="C26" s="3" t="s">
        <v>9</v>
      </c>
      <c r="D26" s="3" t="s">
        <v>183</v>
      </c>
      <c r="E26" s="3" t="s">
        <v>184</v>
      </c>
      <c r="F26" s="5" t="s">
        <v>48</v>
      </c>
      <c r="G26" s="5" t="s">
        <v>4</v>
      </c>
      <c r="H26" s="5" t="s">
        <v>53</v>
      </c>
      <c r="I26" s="3" t="s">
        <v>861</v>
      </c>
      <c r="J26" s="5" t="s">
        <v>842</v>
      </c>
      <c r="K26" s="3"/>
    </row>
    <row r="27" spans="1:11" x14ac:dyDescent="0.3">
      <c r="A27" s="3" t="s">
        <v>868</v>
      </c>
      <c r="B27" s="3" t="s">
        <v>155</v>
      </c>
      <c r="C27" s="3" t="s">
        <v>9</v>
      </c>
      <c r="D27" s="3" t="s">
        <v>187</v>
      </c>
      <c r="E27" s="3" t="s">
        <v>189</v>
      </c>
      <c r="F27" s="5" t="s">
        <v>48</v>
      </c>
      <c r="G27" s="5" t="s">
        <v>4</v>
      </c>
      <c r="H27" s="5" t="s">
        <v>53</v>
      </c>
      <c r="I27" s="3" t="s">
        <v>861</v>
      </c>
      <c r="J27" s="5" t="s">
        <v>842</v>
      </c>
      <c r="K27" s="3"/>
    </row>
    <row r="28" spans="1:11" x14ac:dyDescent="0.3">
      <c r="A28" s="3" t="s">
        <v>869</v>
      </c>
      <c r="B28" s="3" t="s">
        <v>155</v>
      </c>
      <c r="C28" s="3" t="s">
        <v>9</v>
      </c>
      <c r="D28" s="3" t="s">
        <v>194</v>
      </c>
      <c r="E28" s="3" t="s">
        <v>195</v>
      </c>
      <c r="F28" s="5" t="s">
        <v>48</v>
      </c>
      <c r="G28" s="5" t="s">
        <v>4</v>
      </c>
      <c r="H28" s="5" t="s">
        <v>53</v>
      </c>
      <c r="I28" s="3" t="s">
        <v>861</v>
      </c>
      <c r="J28" s="5" t="s">
        <v>842</v>
      </c>
      <c r="K28" s="3"/>
    </row>
    <row r="29" spans="1:11" x14ac:dyDescent="0.3">
      <c r="A29" s="3" t="s">
        <v>870</v>
      </c>
      <c r="B29" s="3" t="s">
        <v>155</v>
      </c>
      <c r="C29" s="3" t="s">
        <v>9</v>
      </c>
      <c r="D29" s="3" t="s">
        <v>199</v>
      </c>
      <c r="E29" s="3" t="s">
        <v>200</v>
      </c>
      <c r="F29" s="5" t="s">
        <v>48</v>
      </c>
      <c r="G29" s="5" t="s">
        <v>4</v>
      </c>
      <c r="H29" s="5" t="s">
        <v>53</v>
      </c>
      <c r="I29" s="3" t="s">
        <v>861</v>
      </c>
      <c r="J29" s="5" t="s">
        <v>842</v>
      </c>
      <c r="K29" s="3"/>
    </row>
    <row r="30" spans="1:11" x14ac:dyDescent="0.3">
      <c r="A30" s="3" t="s">
        <v>871</v>
      </c>
      <c r="B30" s="3" t="s">
        <v>155</v>
      </c>
      <c r="C30" s="3" t="s">
        <v>9</v>
      </c>
      <c r="D30" s="3" t="s">
        <v>203</v>
      </c>
      <c r="E30" s="3" t="s">
        <v>204</v>
      </c>
      <c r="F30" s="5" t="s">
        <v>67</v>
      </c>
      <c r="G30" s="5" t="s">
        <v>4</v>
      </c>
      <c r="H30" s="5" t="s">
        <v>53</v>
      </c>
      <c r="I30" s="3" t="s">
        <v>861</v>
      </c>
      <c r="J30" s="5" t="s">
        <v>842</v>
      </c>
      <c r="K30" s="3"/>
    </row>
    <row r="31" spans="1:11" x14ac:dyDescent="0.3">
      <c r="A31" s="3" t="s">
        <v>872</v>
      </c>
      <c r="B31" s="3" t="s">
        <v>155</v>
      </c>
      <c r="C31" s="3" t="s">
        <v>9</v>
      </c>
      <c r="D31" s="3" t="s">
        <v>208</v>
      </c>
      <c r="E31" s="3" t="s">
        <v>210</v>
      </c>
      <c r="F31" s="5" t="s">
        <v>48</v>
      </c>
      <c r="G31" s="5" t="s">
        <v>4</v>
      </c>
      <c r="H31" s="5" t="s">
        <v>53</v>
      </c>
      <c r="I31" s="3" t="s">
        <v>861</v>
      </c>
      <c r="J31" s="5" t="s">
        <v>842</v>
      </c>
      <c r="K31" s="3"/>
    </row>
    <row r="32" spans="1:11" ht="28.8" x14ac:dyDescent="0.3">
      <c r="A32" s="3" t="s">
        <v>873</v>
      </c>
      <c r="B32" s="3" t="s">
        <v>155</v>
      </c>
      <c r="C32" s="3" t="s">
        <v>9</v>
      </c>
      <c r="D32" s="3" t="s">
        <v>214</v>
      </c>
      <c r="E32" s="3" t="s">
        <v>215</v>
      </c>
      <c r="F32" s="5" t="s">
        <v>48</v>
      </c>
      <c r="G32" s="5" t="s">
        <v>4</v>
      </c>
      <c r="H32" s="5" t="s">
        <v>53</v>
      </c>
      <c r="I32" s="3" t="s">
        <v>861</v>
      </c>
      <c r="J32" s="5" t="s">
        <v>842</v>
      </c>
      <c r="K32" s="3"/>
    </row>
    <row r="33" spans="1:11" x14ac:dyDescent="0.3">
      <c r="A33" s="3" t="s">
        <v>874</v>
      </c>
      <c r="B33" s="3" t="s">
        <v>155</v>
      </c>
      <c r="C33" s="3" t="s">
        <v>9</v>
      </c>
      <c r="D33" s="3" t="s">
        <v>220</v>
      </c>
      <c r="E33" s="3" t="s">
        <v>222</v>
      </c>
      <c r="F33" s="5" t="s">
        <v>48</v>
      </c>
      <c r="G33" s="5" t="s">
        <v>3</v>
      </c>
      <c r="H33" s="5" t="s">
        <v>53</v>
      </c>
      <c r="I33" s="3" t="s">
        <v>861</v>
      </c>
      <c r="J33" s="5" t="s">
        <v>842</v>
      </c>
      <c r="K33" s="3"/>
    </row>
    <row r="34" spans="1:11" ht="28.8" x14ac:dyDescent="0.3">
      <c r="A34" s="3" t="s">
        <v>875</v>
      </c>
      <c r="B34" s="3" t="s">
        <v>155</v>
      </c>
      <c r="C34" s="3" t="s">
        <v>9</v>
      </c>
      <c r="D34" s="3" t="s">
        <v>226</v>
      </c>
      <c r="E34" s="3" t="s">
        <v>227</v>
      </c>
      <c r="F34" s="5" t="s">
        <v>48</v>
      </c>
      <c r="G34" s="5" t="s">
        <v>3</v>
      </c>
      <c r="H34" s="5" t="s">
        <v>53</v>
      </c>
      <c r="I34" s="3" t="s">
        <v>861</v>
      </c>
      <c r="J34" s="5" t="s">
        <v>842</v>
      </c>
      <c r="K34" s="3"/>
    </row>
    <row r="35" spans="1:11" x14ac:dyDescent="0.3">
      <c r="A35" s="3" t="s">
        <v>876</v>
      </c>
      <c r="B35" s="3" t="s">
        <v>155</v>
      </c>
      <c r="C35" s="3" t="s">
        <v>9</v>
      </c>
      <c r="D35" s="3" t="s">
        <v>232</v>
      </c>
      <c r="E35" s="3" t="s">
        <v>234</v>
      </c>
      <c r="F35" s="5" t="s">
        <v>48</v>
      </c>
      <c r="G35" s="5" t="s">
        <v>3</v>
      </c>
      <c r="H35" s="5" t="s">
        <v>53</v>
      </c>
      <c r="I35" s="3" t="s">
        <v>861</v>
      </c>
      <c r="J35" s="5" t="s">
        <v>842</v>
      </c>
      <c r="K35" s="3"/>
    </row>
    <row r="36" spans="1:11" x14ac:dyDescent="0.3">
      <c r="A36" s="3" t="s">
        <v>877</v>
      </c>
      <c r="B36" s="3" t="s">
        <v>155</v>
      </c>
      <c r="C36" s="3" t="s">
        <v>9</v>
      </c>
      <c r="D36" s="3" t="s">
        <v>238</v>
      </c>
      <c r="E36" s="3" t="s">
        <v>240</v>
      </c>
      <c r="F36" s="5" t="s">
        <v>48</v>
      </c>
      <c r="G36" s="5" t="s">
        <v>3</v>
      </c>
      <c r="H36" s="5" t="s">
        <v>53</v>
      </c>
      <c r="I36" s="3" t="s">
        <v>861</v>
      </c>
      <c r="J36" s="5" t="s">
        <v>842</v>
      </c>
      <c r="K36" s="3"/>
    </row>
    <row r="37" spans="1:11" x14ac:dyDescent="0.3">
      <c r="A37" s="3" t="s">
        <v>878</v>
      </c>
      <c r="B37" s="3" t="s">
        <v>155</v>
      </c>
      <c r="C37" s="3" t="s">
        <v>9</v>
      </c>
      <c r="D37" s="3" t="s">
        <v>245</v>
      </c>
      <c r="E37" s="3" t="s">
        <v>247</v>
      </c>
      <c r="F37" s="5" t="s">
        <v>48</v>
      </c>
      <c r="G37" s="5" t="s">
        <v>4</v>
      </c>
      <c r="H37" s="5" t="s">
        <v>53</v>
      </c>
      <c r="I37" s="3" t="s">
        <v>861</v>
      </c>
      <c r="J37" s="5" t="s">
        <v>842</v>
      </c>
      <c r="K37" s="3"/>
    </row>
    <row r="38" spans="1:11" x14ac:dyDescent="0.3">
      <c r="A38" s="3" t="s">
        <v>879</v>
      </c>
      <c r="B38" s="3" t="s">
        <v>155</v>
      </c>
      <c r="C38" s="3" t="s">
        <v>9</v>
      </c>
      <c r="D38" s="3" t="s">
        <v>251</v>
      </c>
      <c r="E38" s="3" t="s">
        <v>252</v>
      </c>
      <c r="F38" s="5" t="s">
        <v>48</v>
      </c>
      <c r="G38" s="5" t="s">
        <v>4</v>
      </c>
      <c r="H38" s="5" t="s">
        <v>53</v>
      </c>
      <c r="I38" s="3" t="s">
        <v>861</v>
      </c>
      <c r="J38" s="5" t="s">
        <v>842</v>
      </c>
      <c r="K38" s="3"/>
    </row>
    <row r="39" spans="1:11" x14ac:dyDescent="0.3">
      <c r="A39" s="3" t="s">
        <v>880</v>
      </c>
      <c r="B39" s="3" t="s">
        <v>155</v>
      </c>
      <c r="C39" s="3" t="s">
        <v>9</v>
      </c>
      <c r="D39" s="3" t="s">
        <v>255</v>
      </c>
      <c r="E39" s="3" t="s">
        <v>256</v>
      </c>
      <c r="F39" s="5" t="s">
        <v>48</v>
      </c>
      <c r="G39" s="5" t="s">
        <v>4</v>
      </c>
      <c r="H39" s="5" t="s">
        <v>53</v>
      </c>
      <c r="I39" s="3" t="s">
        <v>861</v>
      </c>
      <c r="J39" s="5" t="s">
        <v>842</v>
      </c>
      <c r="K39" s="3"/>
    </row>
    <row r="40" spans="1:11" x14ac:dyDescent="0.3">
      <c r="A40" s="3" t="s">
        <v>881</v>
      </c>
      <c r="B40" s="3" t="s">
        <v>155</v>
      </c>
      <c r="C40" s="3" t="s">
        <v>9</v>
      </c>
      <c r="D40" s="3" t="s">
        <v>259</v>
      </c>
      <c r="E40" s="3" t="s">
        <v>260</v>
      </c>
      <c r="F40" s="5" t="s">
        <v>48</v>
      </c>
      <c r="G40" s="5" t="s">
        <v>4</v>
      </c>
      <c r="H40" s="5" t="s">
        <v>53</v>
      </c>
      <c r="I40" s="3" t="s">
        <v>861</v>
      </c>
      <c r="J40" s="5" t="s">
        <v>842</v>
      </c>
      <c r="K40" s="3"/>
    </row>
    <row r="41" spans="1:11" ht="28.8" x14ac:dyDescent="0.3">
      <c r="A41" s="3" t="s">
        <v>882</v>
      </c>
      <c r="B41" s="3" t="s">
        <v>155</v>
      </c>
      <c r="C41" s="3" t="s">
        <v>9</v>
      </c>
      <c r="D41" s="3" t="s">
        <v>264</v>
      </c>
      <c r="E41" s="3" t="s">
        <v>266</v>
      </c>
      <c r="F41" s="5" t="s">
        <v>48</v>
      </c>
      <c r="G41" s="5" t="s">
        <v>4</v>
      </c>
      <c r="H41" s="5" t="s">
        <v>53</v>
      </c>
      <c r="I41" s="3" t="s">
        <v>861</v>
      </c>
      <c r="J41" s="5" t="s">
        <v>842</v>
      </c>
      <c r="K41" s="3"/>
    </row>
    <row r="42" spans="1:11" x14ac:dyDescent="0.3">
      <c r="A42" s="3" t="s">
        <v>883</v>
      </c>
      <c r="B42" s="3" t="s">
        <v>155</v>
      </c>
      <c r="C42" s="3" t="s">
        <v>9</v>
      </c>
      <c r="D42" s="3" t="s">
        <v>270</v>
      </c>
      <c r="E42" s="3" t="s">
        <v>271</v>
      </c>
      <c r="F42" s="5" t="s">
        <v>48</v>
      </c>
      <c r="G42" s="5" t="s">
        <v>4</v>
      </c>
      <c r="H42" s="5" t="s">
        <v>53</v>
      </c>
      <c r="I42" s="3" t="s">
        <v>861</v>
      </c>
      <c r="J42" s="5" t="s">
        <v>842</v>
      </c>
      <c r="K42" s="3"/>
    </row>
    <row r="43" spans="1:11" x14ac:dyDescent="0.3">
      <c r="A43" s="3" t="s">
        <v>884</v>
      </c>
      <c r="B43" s="3" t="s">
        <v>155</v>
      </c>
      <c r="C43" s="3" t="s">
        <v>9</v>
      </c>
      <c r="D43" s="3" t="s">
        <v>276</v>
      </c>
      <c r="E43" s="3" t="s">
        <v>278</v>
      </c>
      <c r="F43" s="5" t="s">
        <v>67</v>
      </c>
      <c r="G43" s="5" t="s">
        <v>4</v>
      </c>
      <c r="H43" s="5" t="s">
        <v>53</v>
      </c>
      <c r="I43" s="3" t="s">
        <v>861</v>
      </c>
      <c r="J43" s="5" t="s">
        <v>842</v>
      </c>
      <c r="K43" s="3"/>
    </row>
    <row r="44" spans="1:11" x14ac:dyDescent="0.3">
      <c r="A44" s="3" t="s">
        <v>885</v>
      </c>
      <c r="B44" s="3" t="s">
        <v>155</v>
      </c>
      <c r="C44" s="3" t="s">
        <v>9</v>
      </c>
      <c r="D44" s="3" t="s">
        <v>283</v>
      </c>
      <c r="E44" s="3" t="s">
        <v>284</v>
      </c>
      <c r="F44" s="5" t="s">
        <v>67</v>
      </c>
      <c r="G44" s="5" t="s">
        <v>4</v>
      </c>
      <c r="H44" s="5" t="s">
        <v>53</v>
      </c>
      <c r="I44" s="3" t="s">
        <v>861</v>
      </c>
      <c r="J44" s="5" t="s">
        <v>842</v>
      </c>
      <c r="K44" s="3"/>
    </row>
    <row r="45" spans="1:11" x14ac:dyDescent="0.3">
      <c r="A45" s="3" t="s">
        <v>886</v>
      </c>
      <c r="B45" s="3" t="s">
        <v>155</v>
      </c>
      <c r="C45" s="3" t="s">
        <v>9</v>
      </c>
      <c r="D45" s="3" t="s">
        <v>288</v>
      </c>
      <c r="E45" s="3" t="s">
        <v>289</v>
      </c>
      <c r="F45" s="5" t="s">
        <v>110</v>
      </c>
      <c r="G45" s="5" t="s">
        <v>4</v>
      </c>
      <c r="H45" s="5" t="s">
        <v>53</v>
      </c>
      <c r="I45" s="3" t="s">
        <v>861</v>
      </c>
      <c r="J45" s="5" t="s">
        <v>842</v>
      </c>
      <c r="K45" s="3"/>
    </row>
    <row r="46" spans="1:11" x14ac:dyDescent="0.3">
      <c r="A46" s="3" t="s">
        <v>887</v>
      </c>
      <c r="B46" s="3" t="s">
        <v>155</v>
      </c>
      <c r="C46" s="3" t="s">
        <v>9</v>
      </c>
      <c r="D46" s="3" t="s">
        <v>293</v>
      </c>
      <c r="E46" s="3" t="s">
        <v>294</v>
      </c>
      <c r="F46" s="5" t="s">
        <v>110</v>
      </c>
      <c r="G46" s="5" t="s">
        <v>4</v>
      </c>
      <c r="H46" s="5" t="s">
        <v>53</v>
      </c>
      <c r="I46" s="3" t="s">
        <v>861</v>
      </c>
      <c r="J46" s="5" t="s">
        <v>842</v>
      </c>
      <c r="K46" s="3"/>
    </row>
    <row r="47" spans="1:11" x14ac:dyDescent="0.3">
      <c r="A47" s="3" t="s">
        <v>888</v>
      </c>
      <c r="B47" s="3" t="s">
        <v>155</v>
      </c>
      <c r="C47" s="3" t="s">
        <v>9</v>
      </c>
      <c r="D47" s="3" t="s">
        <v>298</v>
      </c>
      <c r="E47" s="3" t="s">
        <v>299</v>
      </c>
      <c r="F47" s="5" t="s">
        <v>110</v>
      </c>
      <c r="G47" s="5" t="s">
        <v>4</v>
      </c>
      <c r="H47" s="5" t="s">
        <v>53</v>
      </c>
      <c r="I47" s="3" t="s">
        <v>861</v>
      </c>
      <c r="J47" s="5" t="s">
        <v>842</v>
      </c>
      <c r="K47" s="3"/>
    </row>
    <row r="48" spans="1:11" ht="28.8" x14ac:dyDescent="0.3">
      <c r="A48" s="3" t="s">
        <v>889</v>
      </c>
      <c r="B48" s="3" t="s">
        <v>155</v>
      </c>
      <c r="C48" s="3" t="s">
        <v>9</v>
      </c>
      <c r="D48" s="3" t="s">
        <v>302</v>
      </c>
      <c r="E48" s="3" t="s">
        <v>304</v>
      </c>
      <c r="F48" s="5" t="s">
        <v>67</v>
      </c>
      <c r="G48" s="5" t="s">
        <v>4</v>
      </c>
      <c r="H48" s="5" t="s">
        <v>53</v>
      </c>
      <c r="I48" s="3" t="s">
        <v>861</v>
      </c>
      <c r="J48" s="5" t="s">
        <v>842</v>
      </c>
      <c r="K48" s="3"/>
    </row>
    <row r="49" spans="1:11" ht="28.8" x14ac:dyDescent="0.3">
      <c r="A49" s="3" t="s">
        <v>890</v>
      </c>
      <c r="B49" s="3" t="s">
        <v>155</v>
      </c>
      <c r="C49" s="3" t="s">
        <v>9</v>
      </c>
      <c r="D49" s="3" t="s">
        <v>308</v>
      </c>
      <c r="E49" s="3" t="s">
        <v>310</v>
      </c>
      <c r="F49" s="5" t="s">
        <v>48</v>
      </c>
      <c r="G49" s="5" t="s">
        <v>4</v>
      </c>
      <c r="H49" s="5" t="s">
        <v>53</v>
      </c>
      <c r="I49" s="3" t="s">
        <v>861</v>
      </c>
      <c r="J49" s="5" t="s">
        <v>842</v>
      </c>
      <c r="K49" s="3"/>
    </row>
    <row r="50" spans="1:11" ht="28.8" x14ac:dyDescent="0.3">
      <c r="A50" s="3" t="s">
        <v>891</v>
      </c>
      <c r="B50" s="3" t="s">
        <v>155</v>
      </c>
      <c r="C50" s="3" t="s">
        <v>9</v>
      </c>
      <c r="D50" s="3" t="s">
        <v>315</v>
      </c>
      <c r="E50" s="3" t="s">
        <v>317</v>
      </c>
      <c r="F50" s="5" t="s">
        <v>48</v>
      </c>
      <c r="G50" s="5" t="s">
        <v>4</v>
      </c>
      <c r="H50" s="5" t="s">
        <v>53</v>
      </c>
      <c r="I50" s="3" t="s">
        <v>861</v>
      </c>
      <c r="J50" s="5" t="s">
        <v>842</v>
      </c>
      <c r="K50" s="3"/>
    </row>
    <row r="51" spans="1:11" ht="28.8" x14ac:dyDescent="0.3">
      <c r="A51" s="3" t="s">
        <v>892</v>
      </c>
      <c r="B51" s="3" t="s">
        <v>155</v>
      </c>
      <c r="C51" s="3" t="s">
        <v>9</v>
      </c>
      <c r="D51" s="3" t="s">
        <v>322</v>
      </c>
      <c r="E51" s="3" t="s">
        <v>324</v>
      </c>
      <c r="F51" s="5" t="s">
        <v>67</v>
      </c>
      <c r="G51" s="5" t="s">
        <v>4</v>
      </c>
      <c r="H51" s="5" t="s">
        <v>53</v>
      </c>
      <c r="I51" s="3" t="s">
        <v>861</v>
      </c>
      <c r="J51" s="5" t="s">
        <v>842</v>
      </c>
      <c r="K51" s="3"/>
    </row>
    <row r="52" spans="1:11" x14ac:dyDescent="0.3">
      <c r="A52" s="3" t="s">
        <v>893</v>
      </c>
      <c r="B52" s="3" t="s">
        <v>155</v>
      </c>
      <c r="C52" s="3" t="s">
        <v>9</v>
      </c>
      <c r="D52" s="3" t="s">
        <v>328</v>
      </c>
      <c r="E52" s="3" t="s">
        <v>329</v>
      </c>
      <c r="F52" s="5" t="s">
        <v>67</v>
      </c>
      <c r="G52" s="5" t="s">
        <v>4</v>
      </c>
      <c r="H52" s="5" t="s">
        <v>53</v>
      </c>
      <c r="I52" s="3" t="s">
        <v>861</v>
      </c>
      <c r="J52" s="5" t="s">
        <v>842</v>
      </c>
      <c r="K52" s="3"/>
    </row>
    <row r="53" spans="1:11" ht="28.8" x14ac:dyDescent="0.3">
      <c r="A53" s="3" t="s">
        <v>894</v>
      </c>
      <c r="B53" s="3" t="s">
        <v>155</v>
      </c>
      <c r="C53" s="3" t="s">
        <v>9</v>
      </c>
      <c r="D53" s="3" t="s">
        <v>334</v>
      </c>
      <c r="E53" s="3" t="s">
        <v>336</v>
      </c>
      <c r="F53" s="5" t="s">
        <v>110</v>
      </c>
      <c r="G53" s="5" t="s">
        <v>4</v>
      </c>
      <c r="H53" s="5" t="s">
        <v>53</v>
      </c>
      <c r="I53" s="3" t="s">
        <v>861</v>
      </c>
      <c r="J53" s="5" t="s">
        <v>842</v>
      </c>
      <c r="K53" s="3"/>
    </row>
    <row r="54" spans="1:11" ht="28.8" x14ac:dyDescent="0.3">
      <c r="A54" s="3" t="s">
        <v>895</v>
      </c>
      <c r="B54" s="3" t="s">
        <v>155</v>
      </c>
      <c r="C54" s="3" t="s">
        <v>9</v>
      </c>
      <c r="D54" s="3" t="s">
        <v>341</v>
      </c>
      <c r="E54" s="3" t="s">
        <v>342</v>
      </c>
      <c r="F54" s="5" t="s">
        <v>110</v>
      </c>
      <c r="G54" s="5" t="s">
        <v>4</v>
      </c>
      <c r="H54" s="5" t="s">
        <v>53</v>
      </c>
      <c r="I54" s="3" t="s">
        <v>861</v>
      </c>
      <c r="J54" s="5" t="s">
        <v>842</v>
      </c>
      <c r="K54" s="3"/>
    </row>
    <row r="55" spans="1:11" ht="28.8" x14ac:dyDescent="0.3">
      <c r="A55" s="3" t="s">
        <v>896</v>
      </c>
      <c r="B55" s="3" t="s">
        <v>155</v>
      </c>
      <c r="C55" s="3" t="s">
        <v>9</v>
      </c>
      <c r="D55" s="3" t="s">
        <v>346</v>
      </c>
      <c r="E55" s="3" t="s">
        <v>348</v>
      </c>
      <c r="F55" s="5" t="s">
        <v>110</v>
      </c>
      <c r="G55" s="5" t="s">
        <v>4</v>
      </c>
      <c r="H55" s="5" t="s">
        <v>53</v>
      </c>
      <c r="I55" s="3" t="s">
        <v>861</v>
      </c>
      <c r="J55" s="5" t="s">
        <v>842</v>
      </c>
      <c r="K55" s="3"/>
    </row>
    <row r="56" spans="1:11" ht="28.8" x14ac:dyDescent="0.3">
      <c r="A56" s="3" t="s">
        <v>897</v>
      </c>
      <c r="B56" s="3" t="s">
        <v>155</v>
      </c>
      <c r="C56" s="3" t="s">
        <v>9</v>
      </c>
      <c r="D56" s="3" t="s">
        <v>352</v>
      </c>
      <c r="E56" s="3" t="s">
        <v>353</v>
      </c>
      <c r="F56" s="5" t="s">
        <v>110</v>
      </c>
      <c r="G56" s="5" t="s">
        <v>4</v>
      </c>
      <c r="H56" s="5" t="s">
        <v>53</v>
      </c>
      <c r="I56" s="3" t="s">
        <v>861</v>
      </c>
      <c r="J56" s="5" t="s">
        <v>842</v>
      </c>
      <c r="K56" s="3"/>
    </row>
    <row r="57" spans="1:11" ht="28.8" x14ac:dyDescent="0.3">
      <c r="A57" s="3" t="s">
        <v>898</v>
      </c>
      <c r="B57" s="3" t="s">
        <v>155</v>
      </c>
      <c r="C57" s="3" t="s">
        <v>9</v>
      </c>
      <c r="D57" s="3" t="s">
        <v>357</v>
      </c>
      <c r="E57" s="3" t="s">
        <v>358</v>
      </c>
      <c r="F57" s="5" t="s">
        <v>67</v>
      </c>
      <c r="G57" s="5" t="s">
        <v>3</v>
      </c>
      <c r="H57" s="5" t="s">
        <v>53</v>
      </c>
      <c r="I57" s="3" t="s">
        <v>861</v>
      </c>
      <c r="J57" s="5" t="s">
        <v>842</v>
      </c>
      <c r="K57" s="3"/>
    </row>
    <row r="58" spans="1:11" x14ac:dyDescent="0.3">
      <c r="A58" s="3" t="s">
        <v>899</v>
      </c>
      <c r="B58" s="3" t="s">
        <v>155</v>
      </c>
      <c r="C58" s="3" t="s">
        <v>9</v>
      </c>
      <c r="D58" s="3" t="s">
        <v>364</v>
      </c>
      <c r="E58" s="3" t="s">
        <v>366</v>
      </c>
      <c r="F58" s="5" t="s">
        <v>67</v>
      </c>
      <c r="G58" s="5" t="s">
        <v>4</v>
      </c>
      <c r="H58" s="5" t="s">
        <v>53</v>
      </c>
      <c r="I58" s="3" t="s">
        <v>861</v>
      </c>
      <c r="J58" s="5" t="s">
        <v>842</v>
      </c>
      <c r="K58" s="3"/>
    </row>
    <row r="59" spans="1:11" ht="28.8" x14ac:dyDescent="0.3">
      <c r="A59" s="3" t="s">
        <v>900</v>
      </c>
      <c r="B59" s="3" t="s">
        <v>155</v>
      </c>
      <c r="C59" s="3" t="s">
        <v>9</v>
      </c>
      <c r="D59" s="3" t="s">
        <v>370</v>
      </c>
      <c r="E59" s="3" t="s">
        <v>372</v>
      </c>
      <c r="F59" s="5" t="s">
        <v>110</v>
      </c>
      <c r="G59" s="5" t="s">
        <v>4</v>
      </c>
      <c r="H59" s="5" t="s">
        <v>53</v>
      </c>
      <c r="I59" s="3" t="s">
        <v>861</v>
      </c>
      <c r="J59" s="5" t="s">
        <v>842</v>
      </c>
      <c r="K59" s="3"/>
    </row>
    <row r="60" spans="1:11" x14ac:dyDescent="0.3">
      <c r="A60" s="3" t="s">
        <v>901</v>
      </c>
      <c r="B60" s="3" t="s">
        <v>10</v>
      </c>
      <c r="C60" s="3" t="s">
        <v>10</v>
      </c>
      <c r="D60" s="3" t="s">
        <v>377</v>
      </c>
      <c r="E60" s="3" t="s">
        <v>378</v>
      </c>
      <c r="F60" s="5" t="s">
        <v>48</v>
      </c>
      <c r="G60" s="5" t="s">
        <v>3</v>
      </c>
      <c r="H60" s="5" t="s">
        <v>53</v>
      </c>
      <c r="I60" s="3" t="s">
        <v>902</v>
      </c>
      <c r="J60" s="5" t="s">
        <v>842</v>
      </c>
      <c r="K60" s="3"/>
    </row>
    <row r="61" spans="1:11" x14ac:dyDescent="0.3">
      <c r="A61" s="3" t="s">
        <v>903</v>
      </c>
      <c r="B61" s="3" t="s">
        <v>10</v>
      </c>
      <c r="C61" s="3" t="s">
        <v>10</v>
      </c>
      <c r="D61" s="3" t="s">
        <v>381</v>
      </c>
      <c r="E61" s="3" t="s">
        <v>383</v>
      </c>
      <c r="F61" s="5" t="s">
        <v>48</v>
      </c>
      <c r="G61" s="5" t="s">
        <v>3</v>
      </c>
      <c r="H61" s="5" t="s">
        <v>53</v>
      </c>
      <c r="I61" s="3" t="s">
        <v>902</v>
      </c>
      <c r="J61" s="5" t="s">
        <v>842</v>
      </c>
      <c r="K61" s="3"/>
    </row>
    <row r="62" spans="1:11" ht="28.8" x14ac:dyDescent="0.3">
      <c r="A62" s="3" t="s">
        <v>904</v>
      </c>
      <c r="B62" s="3" t="s">
        <v>10</v>
      </c>
      <c r="C62" s="3" t="s">
        <v>10</v>
      </c>
      <c r="D62" s="3" t="s">
        <v>388</v>
      </c>
      <c r="E62" s="3" t="s">
        <v>389</v>
      </c>
      <c r="F62" s="5" t="s">
        <v>67</v>
      </c>
      <c r="G62" s="5" t="s">
        <v>4</v>
      </c>
      <c r="H62" s="5" t="s">
        <v>53</v>
      </c>
      <c r="I62" s="3" t="s">
        <v>902</v>
      </c>
      <c r="J62" s="5" t="s">
        <v>842</v>
      </c>
      <c r="K62" s="3"/>
    </row>
    <row r="63" spans="1:11" x14ac:dyDescent="0.3">
      <c r="A63" s="3" t="s">
        <v>905</v>
      </c>
      <c r="B63" s="3" t="s">
        <v>10</v>
      </c>
      <c r="C63" s="3" t="s">
        <v>10</v>
      </c>
      <c r="D63" s="3" t="s">
        <v>393</v>
      </c>
      <c r="E63" s="3" t="s">
        <v>394</v>
      </c>
      <c r="F63" s="5" t="s">
        <v>67</v>
      </c>
      <c r="G63" s="5" t="s">
        <v>4</v>
      </c>
      <c r="H63" s="5" t="s">
        <v>53</v>
      </c>
      <c r="I63" s="3" t="s">
        <v>902</v>
      </c>
      <c r="J63" s="5" t="s">
        <v>842</v>
      </c>
      <c r="K63" s="3"/>
    </row>
    <row r="64" spans="1:11" x14ac:dyDescent="0.3">
      <c r="A64" s="3" t="s">
        <v>906</v>
      </c>
      <c r="B64" s="3" t="s">
        <v>10</v>
      </c>
      <c r="C64" s="3" t="s">
        <v>10</v>
      </c>
      <c r="D64" s="3" t="s">
        <v>397</v>
      </c>
      <c r="E64" s="3" t="s">
        <v>399</v>
      </c>
      <c r="F64" s="5" t="s">
        <v>48</v>
      </c>
      <c r="G64" s="5" t="s">
        <v>3</v>
      </c>
      <c r="H64" s="5" t="s">
        <v>53</v>
      </c>
      <c r="I64" s="3" t="s">
        <v>902</v>
      </c>
      <c r="J64" s="5" t="s">
        <v>842</v>
      </c>
      <c r="K64" s="3"/>
    </row>
    <row r="65" spans="1:11" ht="28.8" x14ac:dyDescent="0.3">
      <c r="A65" s="3" t="s">
        <v>907</v>
      </c>
      <c r="B65" s="3" t="s">
        <v>10</v>
      </c>
      <c r="C65" s="3" t="s">
        <v>10</v>
      </c>
      <c r="D65" s="3" t="s">
        <v>402</v>
      </c>
      <c r="E65" s="3" t="s">
        <v>403</v>
      </c>
      <c r="F65" s="5" t="s">
        <v>48</v>
      </c>
      <c r="G65" s="5" t="s">
        <v>4</v>
      </c>
      <c r="H65" s="5" t="s">
        <v>53</v>
      </c>
      <c r="I65" s="3" t="s">
        <v>902</v>
      </c>
      <c r="J65" s="5" t="s">
        <v>842</v>
      </c>
      <c r="K65" s="3"/>
    </row>
    <row r="66" spans="1:11" x14ac:dyDescent="0.3">
      <c r="A66" s="3" t="s">
        <v>908</v>
      </c>
      <c r="B66" s="3" t="s">
        <v>10</v>
      </c>
      <c r="C66" s="3" t="s">
        <v>10</v>
      </c>
      <c r="D66" s="3" t="s">
        <v>408</v>
      </c>
      <c r="E66" s="3" t="s">
        <v>409</v>
      </c>
      <c r="F66" s="5" t="s">
        <v>67</v>
      </c>
      <c r="G66" s="5" t="s">
        <v>4</v>
      </c>
      <c r="H66" s="5" t="s">
        <v>53</v>
      </c>
      <c r="I66" s="3" t="s">
        <v>902</v>
      </c>
      <c r="J66" s="5" t="s">
        <v>842</v>
      </c>
      <c r="K66" s="3"/>
    </row>
    <row r="67" spans="1:11" x14ac:dyDescent="0.3">
      <c r="A67" s="3" t="s">
        <v>909</v>
      </c>
      <c r="B67" s="3" t="s">
        <v>10</v>
      </c>
      <c r="C67" s="3" t="s">
        <v>10</v>
      </c>
      <c r="D67" s="3" t="s">
        <v>412</v>
      </c>
      <c r="E67" s="3" t="s">
        <v>413</v>
      </c>
      <c r="F67" s="5" t="s">
        <v>48</v>
      </c>
      <c r="G67" s="5" t="s">
        <v>4</v>
      </c>
      <c r="H67" s="5" t="s">
        <v>53</v>
      </c>
      <c r="I67" s="3" t="s">
        <v>902</v>
      </c>
      <c r="J67" s="5" t="s">
        <v>842</v>
      </c>
      <c r="K67" s="3"/>
    </row>
    <row r="68" spans="1:11" ht="28.8" x14ac:dyDescent="0.3">
      <c r="A68" s="3" t="s">
        <v>910</v>
      </c>
      <c r="B68" s="3" t="s">
        <v>10</v>
      </c>
      <c r="C68" s="3" t="s">
        <v>10</v>
      </c>
      <c r="D68" s="3" t="s">
        <v>416</v>
      </c>
      <c r="E68" s="3" t="s">
        <v>417</v>
      </c>
      <c r="F68" s="5" t="s">
        <v>67</v>
      </c>
      <c r="G68" s="5" t="s">
        <v>4</v>
      </c>
      <c r="H68" s="5" t="s">
        <v>53</v>
      </c>
      <c r="I68" s="3" t="s">
        <v>902</v>
      </c>
      <c r="J68" s="5" t="s">
        <v>842</v>
      </c>
      <c r="K68" s="3"/>
    </row>
    <row r="69" spans="1:11" x14ac:dyDescent="0.3">
      <c r="A69" s="3" t="s">
        <v>911</v>
      </c>
      <c r="B69" s="3" t="s">
        <v>10</v>
      </c>
      <c r="C69" s="3" t="s">
        <v>10</v>
      </c>
      <c r="D69" s="3" t="s">
        <v>421</v>
      </c>
      <c r="E69" s="3" t="s">
        <v>423</v>
      </c>
      <c r="F69" s="5" t="s">
        <v>48</v>
      </c>
      <c r="G69" s="5" t="s">
        <v>4</v>
      </c>
      <c r="H69" s="5" t="s">
        <v>53</v>
      </c>
      <c r="I69" s="3" t="s">
        <v>902</v>
      </c>
      <c r="J69" s="5" t="s">
        <v>842</v>
      </c>
      <c r="K69" s="3"/>
    </row>
    <row r="70" spans="1:11" x14ac:dyDescent="0.3">
      <c r="A70" s="3" t="s">
        <v>912</v>
      </c>
      <c r="B70" s="3" t="s">
        <v>10</v>
      </c>
      <c r="C70" s="3" t="s">
        <v>10</v>
      </c>
      <c r="D70" s="3" t="s">
        <v>427</v>
      </c>
      <c r="E70" s="3" t="s">
        <v>428</v>
      </c>
      <c r="F70" s="5" t="s">
        <v>67</v>
      </c>
      <c r="G70" s="5" t="s">
        <v>4</v>
      </c>
      <c r="H70" s="5" t="s">
        <v>53</v>
      </c>
      <c r="I70" s="3" t="s">
        <v>902</v>
      </c>
      <c r="J70" s="5" t="s">
        <v>842</v>
      </c>
      <c r="K70" s="3"/>
    </row>
    <row r="71" spans="1:11" ht="28.8" x14ac:dyDescent="0.3">
      <c r="A71" s="3" t="s">
        <v>913</v>
      </c>
      <c r="B71" s="3" t="s">
        <v>10</v>
      </c>
      <c r="C71" s="3" t="s">
        <v>10</v>
      </c>
      <c r="D71" s="3" t="s">
        <v>431</v>
      </c>
      <c r="E71" s="3" t="s">
        <v>432</v>
      </c>
      <c r="F71" s="5" t="s">
        <v>48</v>
      </c>
      <c r="G71" s="5" t="s">
        <v>3</v>
      </c>
      <c r="H71" s="5" t="s">
        <v>53</v>
      </c>
      <c r="I71" s="3" t="s">
        <v>902</v>
      </c>
      <c r="J71" s="5" t="s">
        <v>842</v>
      </c>
      <c r="K71" s="3"/>
    </row>
    <row r="72" spans="1:11" ht="28.8" x14ac:dyDescent="0.3">
      <c r="A72" s="3" t="s">
        <v>914</v>
      </c>
      <c r="B72" s="3" t="s">
        <v>10</v>
      </c>
      <c r="C72" s="3" t="s">
        <v>10</v>
      </c>
      <c r="D72" s="3" t="s">
        <v>436</v>
      </c>
      <c r="E72" s="3" t="s">
        <v>437</v>
      </c>
      <c r="F72" s="5" t="s">
        <v>67</v>
      </c>
      <c r="G72" s="5" t="s">
        <v>4</v>
      </c>
      <c r="H72" s="5" t="s">
        <v>53</v>
      </c>
      <c r="I72" s="3" t="s">
        <v>902</v>
      </c>
      <c r="J72" s="5" t="s">
        <v>842</v>
      </c>
      <c r="K72" s="3"/>
    </row>
    <row r="73" spans="1:11" x14ac:dyDescent="0.3">
      <c r="A73" s="3" t="s">
        <v>915</v>
      </c>
      <c r="B73" s="3" t="s">
        <v>10</v>
      </c>
      <c r="C73" s="3" t="s">
        <v>10</v>
      </c>
      <c r="D73" s="3" t="s">
        <v>441</v>
      </c>
      <c r="E73" s="3" t="s">
        <v>442</v>
      </c>
      <c r="F73" s="5" t="s">
        <v>110</v>
      </c>
      <c r="G73" s="5" t="s">
        <v>4</v>
      </c>
      <c r="H73" s="5" t="s">
        <v>53</v>
      </c>
      <c r="I73" s="3" t="s">
        <v>902</v>
      </c>
      <c r="J73" s="5" t="s">
        <v>842</v>
      </c>
      <c r="K73" s="3"/>
    </row>
    <row r="74" spans="1:11" ht="28.8" x14ac:dyDescent="0.3">
      <c r="A74" s="3" t="s">
        <v>916</v>
      </c>
      <c r="B74" s="3" t="s">
        <v>10</v>
      </c>
      <c r="C74" s="3" t="s">
        <v>10</v>
      </c>
      <c r="D74" s="3" t="s">
        <v>446</v>
      </c>
      <c r="E74" s="3" t="s">
        <v>447</v>
      </c>
      <c r="F74" s="5" t="s">
        <v>48</v>
      </c>
      <c r="G74" s="5" t="s">
        <v>4</v>
      </c>
      <c r="H74" s="5" t="s">
        <v>53</v>
      </c>
      <c r="I74" s="3" t="s">
        <v>902</v>
      </c>
      <c r="J74" s="5" t="s">
        <v>842</v>
      </c>
      <c r="K74" s="3"/>
    </row>
    <row r="75" spans="1:11" ht="28.8" x14ac:dyDescent="0.3">
      <c r="A75" s="3" t="s">
        <v>917</v>
      </c>
      <c r="B75" s="3" t="s">
        <v>10</v>
      </c>
      <c r="C75" s="3" t="s">
        <v>10</v>
      </c>
      <c r="D75" s="3" t="s">
        <v>451</v>
      </c>
      <c r="E75" s="3" t="s">
        <v>452</v>
      </c>
      <c r="F75" s="5" t="s">
        <v>67</v>
      </c>
      <c r="G75" s="5" t="s">
        <v>4</v>
      </c>
      <c r="H75" s="5" t="s">
        <v>53</v>
      </c>
      <c r="I75" s="3" t="s">
        <v>902</v>
      </c>
      <c r="J75" s="5" t="s">
        <v>842</v>
      </c>
      <c r="K75" s="3"/>
    </row>
    <row r="76" spans="1:11" x14ac:dyDescent="0.3">
      <c r="A76" s="3" t="s">
        <v>918</v>
      </c>
      <c r="B76" s="3" t="s">
        <v>10</v>
      </c>
      <c r="C76" s="3" t="s">
        <v>10</v>
      </c>
      <c r="D76" s="3" t="s">
        <v>456</v>
      </c>
      <c r="E76" s="3" t="s">
        <v>457</v>
      </c>
      <c r="F76" s="5" t="s">
        <v>48</v>
      </c>
      <c r="G76" s="5" t="s">
        <v>4</v>
      </c>
      <c r="H76" s="5" t="s">
        <v>53</v>
      </c>
      <c r="I76" s="3" t="s">
        <v>902</v>
      </c>
      <c r="J76" s="5" t="s">
        <v>842</v>
      </c>
      <c r="K76" s="3"/>
    </row>
    <row r="77" spans="1:11" ht="28.8" x14ac:dyDescent="0.3">
      <c r="A77" s="3" t="s">
        <v>919</v>
      </c>
      <c r="B77" s="3" t="s">
        <v>10</v>
      </c>
      <c r="C77" s="3" t="s">
        <v>10</v>
      </c>
      <c r="D77" s="3" t="s">
        <v>461</v>
      </c>
      <c r="E77" s="3" t="s">
        <v>462</v>
      </c>
      <c r="F77" s="5" t="s">
        <v>48</v>
      </c>
      <c r="G77" s="5" t="s">
        <v>4</v>
      </c>
      <c r="H77" s="5" t="s">
        <v>53</v>
      </c>
      <c r="I77" s="3" t="s">
        <v>902</v>
      </c>
      <c r="J77" s="5" t="s">
        <v>842</v>
      </c>
      <c r="K77" s="3"/>
    </row>
    <row r="78" spans="1:11" ht="28.8" x14ac:dyDescent="0.3">
      <c r="A78" s="3" t="s">
        <v>920</v>
      </c>
      <c r="B78" s="3" t="s">
        <v>10</v>
      </c>
      <c r="C78" s="3" t="s">
        <v>10</v>
      </c>
      <c r="D78" s="3" t="s">
        <v>467</v>
      </c>
      <c r="E78" s="3" t="s">
        <v>468</v>
      </c>
      <c r="F78" s="5" t="s">
        <v>67</v>
      </c>
      <c r="G78" s="5" t="s">
        <v>4</v>
      </c>
      <c r="H78" s="5" t="s">
        <v>53</v>
      </c>
      <c r="I78" s="3" t="s">
        <v>902</v>
      </c>
      <c r="J78" s="5" t="s">
        <v>842</v>
      </c>
      <c r="K78" s="3"/>
    </row>
    <row r="79" spans="1:11" ht="28.8" x14ac:dyDescent="0.3">
      <c r="A79" s="3" t="s">
        <v>921</v>
      </c>
      <c r="B79" s="3" t="s">
        <v>10</v>
      </c>
      <c r="C79" s="3" t="s">
        <v>10</v>
      </c>
      <c r="D79" s="3" t="s">
        <v>472</v>
      </c>
      <c r="E79" s="3" t="s">
        <v>474</v>
      </c>
      <c r="F79" s="5" t="s">
        <v>67</v>
      </c>
      <c r="G79" s="5" t="s">
        <v>4</v>
      </c>
      <c r="H79" s="5" t="s">
        <v>53</v>
      </c>
      <c r="I79" s="3" t="s">
        <v>902</v>
      </c>
      <c r="J79" s="5" t="s">
        <v>842</v>
      </c>
      <c r="K79" s="3"/>
    </row>
    <row r="80" spans="1:11" ht="28.8" x14ac:dyDescent="0.3">
      <c r="A80" s="3" t="s">
        <v>922</v>
      </c>
      <c r="B80" s="3" t="s">
        <v>10</v>
      </c>
      <c r="C80" s="3" t="s">
        <v>10</v>
      </c>
      <c r="D80" s="3" t="s">
        <v>478</v>
      </c>
      <c r="E80" s="3" t="s">
        <v>479</v>
      </c>
      <c r="F80" s="5" t="s">
        <v>48</v>
      </c>
      <c r="G80" s="5" t="s">
        <v>4</v>
      </c>
      <c r="H80" s="5" t="s">
        <v>53</v>
      </c>
      <c r="I80" s="3" t="s">
        <v>902</v>
      </c>
      <c r="J80" s="5" t="s">
        <v>842</v>
      </c>
      <c r="K80" s="3"/>
    </row>
    <row r="81" spans="1:11" ht="28.8" x14ac:dyDescent="0.3">
      <c r="A81" s="3" t="s">
        <v>923</v>
      </c>
      <c r="B81" s="3" t="s">
        <v>10</v>
      </c>
      <c r="C81" s="3" t="s">
        <v>10</v>
      </c>
      <c r="D81" s="3" t="s">
        <v>483</v>
      </c>
      <c r="E81" s="3" t="s">
        <v>485</v>
      </c>
      <c r="F81" s="5" t="s">
        <v>110</v>
      </c>
      <c r="G81" s="5" t="s">
        <v>4</v>
      </c>
      <c r="H81" s="5" t="s">
        <v>53</v>
      </c>
      <c r="I81" s="3" t="s">
        <v>902</v>
      </c>
      <c r="J81" s="5" t="s">
        <v>842</v>
      </c>
      <c r="K81" s="3"/>
    </row>
    <row r="82" spans="1:11" ht="28.8" x14ac:dyDescent="0.3">
      <c r="A82" s="3" t="s">
        <v>924</v>
      </c>
      <c r="B82" s="3" t="s">
        <v>10</v>
      </c>
      <c r="C82" s="3" t="s">
        <v>10</v>
      </c>
      <c r="D82" s="3" t="s">
        <v>489</v>
      </c>
      <c r="E82" s="3" t="s">
        <v>491</v>
      </c>
      <c r="F82" s="5" t="s">
        <v>110</v>
      </c>
      <c r="G82" s="5" t="s">
        <v>4</v>
      </c>
      <c r="H82" s="5" t="s">
        <v>53</v>
      </c>
      <c r="I82" s="3" t="s">
        <v>902</v>
      </c>
      <c r="J82" s="5" t="s">
        <v>842</v>
      </c>
      <c r="K82" s="3"/>
    </row>
    <row r="83" spans="1:11" ht="28.8" x14ac:dyDescent="0.3">
      <c r="A83" s="3" t="s">
        <v>925</v>
      </c>
      <c r="B83" s="3" t="s">
        <v>10</v>
      </c>
      <c r="C83" s="3" t="s">
        <v>10</v>
      </c>
      <c r="D83" s="3" t="s">
        <v>496</v>
      </c>
      <c r="E83" s="3" t="s">
        <v>498</v>
      </c>
      <c r="F83" s="5" t="s">
        <v>110</v>
      </c>
      <c r="G83" s="5" t="s">
        <v>4</v>
      </c>
      <c r="H83" s="5" t="s">
        <v>53</v>
      </c>
      <c r="I83" s="3" t="s">
        <v>902</v>
      </c>
      <c r="J83" s="5" t="s">
        <v>842</v>
      </c>
      <c r="K83" s="3"/>
    </row>
    <row r="84" spans="1:11" x14ac:dyDescent="0.3">
      <c r="A84" s="3" t="s">
        <v>926</v>
      </c>
      <c r="B84" s="3" t="s">
        <v>11</v>
      </c>
      <c r="C84" s="3" t="s">
        <v>11</v>
      </c>
      <c r="D84" s="3" t="s">
        <v>502</v>
      </c>
      <c r="E84" s="3" t="s">
        <v>503</v>
      </c>
      <c r="F84" s="5" t="s">
        <v>48</v>
      </c>
      <c r="G84" s="5" t="s">
        <v>3</v>
      </c>
      <c r="H84" s="5" t="s">
        <v>53</v>
      </c>
      <c r="I84" s="3" t="s">
        <v>927</v>
      </c>
      <c r="J84" s="5" t="s">
        <v>842</v>
      </c>
      <c r="K84" s="3"/>
    </row>
    <row r="85" spans="1:11" ht="28.8" x14ac:dyDescent="0.3">
      <c r="A85" s="3" t="s">
        <v>928</v>
      </c>
      <c r="B85" s="3" t="s">
        <v>11</v>
      </c>
      <c r="C85" s="3" t="s">
        <v>11</v>
      </c>
      <c r="D85" s="3" t="s">
        <v>506</v>
      </c>
      <c r="E85" s="3" t="s">
        <v>508</v>
      </c>
      <c r="F85" s="5" t="s">
        <v>48</v>
      </c>
      <c r="G85" s="5" t="s">
        <v>4</v>
      </c>
      <c r="H85" s="5" t="s">
        <v>53</v>
      </c>
      <c r="I85" s="3" t="s">
        <v>927</v>
      </c>
      <c r="J85" s="5" t="s">
        <v>842</v>
      </c>
      <c r="K85" s="3"/>
    </row>
    <row r="86" spans="1:11" x14ac:dyDescent="0.3">
      <c r="A86" s="3" t="s">
        <v>929</v>
      </c>
      <c r="B86" s="3" t="s">
        <v>11</v>
      </c>
      <c r="C86" s="3" t="s">
        <v>11</v>
      </c>
      <c r="D86" s="3" t="s">
        <v>513</v>
      </c>
      <c r="E86" s="3" t="s">
        <v>515</v>
      </c>
      <c r="F86" s="5" t="s">
        <v>48</v>
      </c>
      <c r="G86" s="5" t="s">
        <v>3</v>
      </c>
      <c r="H86" s="5" t="s">
        <v>53</v>
      </c>
      <c r="I86" s="3" t="s">
        <v>927</v>
      </c>
      <c r="J86" s="5" t="s">
        <v>842</v>
      </c>
      <c r="K86" s="3"/>
    </row>
    <row r="87" spans="1:11" x14ac:dyDescent="0.3">
      <c r="A87" s="3" t="s">
        <v>930</v>
      </c>
      <c r="B87" s="3" t="s">
        <v>11</v>
      </c>
      <c r="C87" s="3" t="s">
        <v>11</v>
      </c>
      <c r="D87" s="3" t="s">
        <v>520</v>
      </c>
      <c r="E87" s="3" t="s">
        <v>521</v>
      </c>
      <c r="F87" s="5" t="s">
        <v>48</v>
      </c>
      <c r="G87" s="5" t="s">
        <v>4</v>
      </c>
      <c r="H87" s="5" t="s">
        <v>53</v>
      </c>
      <c r="I87" s="3" t="s">
        <v>927</v>
      </c>
      <c r="J87" s="5" t="s">
        <v>842</v>
      </c>
      <c r="K87" s="3"/>
    </row>
    <row r="88" spans="1:11" x14ac:dyDescent="0.3">
      <c r="A88" s="3" t="s">
        <v>931</v>
      </c>
      <c r="B88" s="3" t="s">
        <v>11</v>
      </c>
      <c r="C88" s="3" t="s">
        <v>11</v>
      </c>
      <c r="D88" s="3" t="s">
        <v>525</v>
      </c>
      <c r="E88" s="3" t="s">
        <v>526</v>
      </c>
      <c r="F88" s="5" t="s">
        <v>48</v>
      </c>
      <c r="G88" s="5" t="s">
        <v>4</v>
      </c>
      <c r="H88" s="5" t="s">
        <v>53</v>
      </c>
      <c r="I88" s="3" t="s">
        <v>927</v>
      </c>
      <c r="J88" s="5" t="s">
        <v>842</v>
      </c>
      <c r="K88" s="3"/>
    </row>
    <row r="89" spans="1:11" x14ac:dyDescent="0.3">
      <c r="A89" s="3" t="s">
        <v>932</v>
      </c>
      <c r="B89" s="3" t="s">
        <v>11</v>
      </c>
      <c r="C89" s="3" t="s">
        <v>11</v>
      </c>
      <c r="D89" s="3" t="s">
        <v>530</v>
      </c>
      <c r="E89" s="3" t="s">
        <v>531</v>
      </c>
      <c r="F89" s="5" t="s">
        <v>48</v>
      </c>
      <c r="G89" s="5" t="s">
        <v>4</v>
      </c>
      <c r="H89" s="5" t="s">
        <v>53</v>
      </c>
      <c r="I89" s="3" t="s">
        <v>927</v>
      </c>
      <c r="J89" s="5" t="s">
        <v>842</v>
      </c>
      <c r="K89" s="3"/>
    </row>
    <row r="90" spans="1:11" x14ac:dyDescent="0.3">
      <c r="A90" s="3" t="s">
        <v>933</v>
      </c>
      <c r="B90" s="3" t="s">
        <v>11</v>
      </c>
      <c r="C90" s="3" t="s">
        <v>11</v>
      </c>
      <c r="D90" s="3" t="s">
        <v>535</v>
      </c>
      <c r="E90" s="3" t="s">
        <v>536</v>
      </c>
      <c r="F90" s="5" t="s">
        <v>48</v>
      </c>
      <c r="G90" s="5" t="s">
        <v>4</v>
      </c>
      <c r="H90" s="5" t="s">
        <v>53</v>
      </c>
      <c r="I90" s="3" t="s">
        <v>927</v>
      </c>
      <c r="J90" s="5" t="s">
        <v>842</v>
      </c>
      <c r="K90" s="3"/>
    </row>
    <row r="91" spans="1:11" ht="28.8" x14ac:dyDescent="0.3">
      <c r="A91" s="3" t="s">
        <v>934</v>
      </c>
      <c r="B91" s="3" t="s">
        <v>11</v>
      </c>
      <c r="C91" s="3" t="s">
        <v>11</v>
      </c>
      <c r="D91" s="3" t="s">
        <v>540</v>
      </c>
      <c r="E91" s="3" t="s">
        <v>542</v>
      </c>
      <c r="F91" s="5" t="s">
        <v>67</v>
      </c>
      <c r="G91" s="5" t="s">
        <v>4</v>
      </c>
      <c r="H91" s="5" t="s">
        <v>53</v>
      </c>
      <c r="I91" s="3" t="s">
        <v>927</v>
      </c>
      <c r="J91" s="5" t="s">
        <v>842</v>
      </c>
      <c r="K91" s="3"/>
    </row>
    <row r="92" spans="1:11" x14ac:dyDescent="0.3">
      <c r="A92" s="3" t="s">
        <v>935</v>
      </c>
      <c r="B92" s="3" t="s">
        <v>11</v>
      </c>
      <c r="C92" s="3" t="s">
        <v>11</v>
      </c>
      <c r="D92" s="3" t="s">
        <v>546</v>
      </c>
      <c r="E92" s="3" t="s">
        <v>548</v>
      </c>
      <c r="F92" s="5" t="s">
        <v>67</v>
      </c>
      <c r="G92" s="5" t="s">
        <v>4</v>
      </c>
      <c r="H92" s="5" t="s">
        <v>53</v>
      </c>
      <c r="I92" s="3" t="s">
        <v>927</v>
      </c>
      <c r="J92" s="5" t="s">
        <v>842</v>
      </c>
      <c r="K92" s="3"/>
    </row>
    <row r="93" spans="1:11" x14ac:dyDescent="0.3">
      <c r="A93" s="3" t="s">
        <v>936</v>
      </c>
      <c r="B93" s="3" t="s">
        <v>11</v>
      </c>
      <c r="C93" s="3" t="s">
        <v>11</v>
      </c>
      <c r="D93" s="3" t="s">
        <v>553</v>
      </c>
      <c r="E93" s="3" t="s">
        <v>554</v>
      </c>
      <c r="F93" s="5" t="s">
        <v>48</v>
      </c>
      <c r="G93" s="5" t="s">
        <v>4</v>
      </c>
      <c r="H93" s="5" t="s">
        <v>53</v>
      </c>
      <c r="I93" s="3" t="s">
        <v>927</v>
      </c>
      <c r="J93" s="5" t="s">
        <v>842</v>
      </c>
      <c r="K93" s="3"/>
    </row>
    <row r="94" spans="1:11" ht="28.8" x14ac:dyDescent="0.3">
      <c r="A94" s="3" t="s">
        <v>937</v>
      </c>
      <c r="B94" s="3" t="s">
        <v>11</v>
      </c>
      <c r="C94" s="3" t="s">
        <v>11</v>
      </c>
      <c r="D94" s="3" t="s">
        <v>559</v>
      </c>
      <c r="E94" s="3" t="s">
        <v>560</v>
      </c>
      <c r="F94" s="5" t="s">
        <v>48</v>
      </c>
      <c r="G94" s="5" t="s">
        <v>4</v>
      </c>
      <c r="H94" s="5" t="s">
        <v>53</v>
      </c>
      <c r="I94" s="3" t="s">
        <v>927</v>
      </c>
      <c r="J94" s="5" t="s">
        <v>842</v>
      </c>
      <c r="K94" s="3"/>
    </row>
    <row r="95" spans="1:11" ht="28.8" x14ac:dyDescent="0.3">
      <c r="A95" s="3" t="s">
        <v>938</v>
      </c>
      <c r="B95" s="3" t="s">
        <v>11</v>
      </c>
      <c r="C95" s="3" t="s">
        <v>11</v>
      </c>
      <c r="D95" s="3" t="s">
        <v>565</v>
      </c>
      <c r="E95" s="3" t="s">
        <v>567</v>
      </c>
      <c r="F95" s="5" t="s">
        <v>67</v>
      </c>
      <c r="G95" s="5" t="s">
        <v>4</v>
      </c>
      <c r="H95" s="5" t="s">
        <v>53</v>
      </c>
      <c r="I95" s="3" t="s">
        <v>927</v>
      </c>
      <c r="J95" s="5" t="s">
        <v>842</v>
      </c>
      <c r="K95" s="3"/>
    </row>
    <row r="96" spans="1:11" ht="28.8" x14ac:dyDescent="0.3">
      <c r="A96" s="3" t="s">
        <v>939</v>
      </c>
      <c r="B96" s="3" t="s">
        <v>11</v>
      </c>
      <c r="C96" s="3" t="s">
        <v>11</v>
      </c>
      <c r="D96" s="3" t="s">
        <v>571</v>
      </c>
      <c r="E96" s="3" t="s">
        <v>572</v>
      </c>
      <c r="F96" s="5" t="s">
        <v>67</v>
      </c>
      <c r="G96" s="5" t="s">
        <v>4</v>
      </c>
      <c r="H96" s="5" t="s">
        <v>53</v>
      </c>
      <c r="I96" s="3" t="s">
        <v>927</v>
      </c>
      <c r="J96" s="5" t="s">
        <v>842</v>
      </c>
      <c r="K96" s="3"/>
    </row>
    <row r="97" spans="1:11" ht="28.8" x14ac:dyDescent="0.3">
      <c r="A97" s="3" t="s">
        <v>940</v>
      </c>
      <c r="B97" s="3" t="s">
        <v>11</v>
      </c>
      <c r="C97" s="3" t="s">
        <v>11</v>
      </c>
      <c r="D97" s="3" t="s">
        <v>577</v>
      </c>
      <c r="E97" s="3" t="s">
        <v>579</v>
      </c>
      <c r="F97" s="5" t="s">
        <v>110</v>
      </c>
      <c r="G97" s="5" t="s">
        <v>4</v>
      </c>
      <c r="H97" s="5" t="s">
        <v>53</v>
      </c>
      <c r="I97" s="3" t="s">
        <v>927</v>
      </c>
      <c r="J97" s="5" t="s">
        <v>842</v>
      </c>
      <c r="K97" s="3"/>
    </row>
    <row r="98" spans="1:11" ht="28.8" x14ac:dyDescent="0.3">
      <c r="A98" s="3" t="s">
        <v>941</v>
      </c>
      <c r="B98" s="3" t="s">
        <v>11</v>
      </c>
      <c r="C98" s="3" t="s">
        <v>11</v>
      </c>
      <c r="D98" s="3" t="s">
        <v>584</v>
      </c>
      <c r="E98" s="3" t="s">
        <v>586</v>
      </c>
      <c r="F98" s="5" t="s">
        <v>48</v>
      </c>
      <c r="G98" s="5" t="s">
        <v>3</v>
      </c>
      <c r="H98" s="5" t="s">
        <v>53</v>
      </c>
      <c r="I98" s="3" t="s">
        <v>927</v>
      </c>
      <c r="J98" s="5" t="s">
        <v>842</v>
      </c>
      <c r="K98" s="3"/>
    </row>
    <row r="99" spans="1:11" ht="28.8" x14ac:dyDescent="0.3">
      <c r="A99" s="3" t="s">
        <v>942</v>
      </c>
      <c r="B99" s="3" t="s">
        <v>11</v>
      </c>
      <c r="C99" s="3" t="s">
        <v>11</v>
      </c>
      <c r="D99" s="3" t="s">
        <v>590</v>
      </c>
      <c r="E99" s="3" t="s">
        <v>591</v>
      </c>
      <c r="F99" s="5" t="s">
        <v>48</v>
      </c>
      <c r="G99" s="5" t="s">
        <v>4</v>
      </c>
      <c r="H99" s="5" t="s">
        <v>53</v>
      </c>
      <c r="I99" s="3" t="s">
        <v>927</v>
      </c>
      <c r="J99" s="5" t="s">
        <v>842</v>
      </c>
      <c r="K99" s="3"/>
    </row>
    <row r="100" spans="1:11" x14ac:dyDescent="0.3">
      <c r="A100" s="3" t="s">
        <v>943</v>
      </c>
      <c r="B100" s="3" t="s">
        <v>12</v>
      </c>
      <c r="C100" s="3" t="s">
        <v>12</v>
      </c>
      <c r="D100" s="3" t="s">
        <v>595</v>
      </c>
      <c r="E100" s="3" t="s">
        <v>597</v>
      </c>
      <c r="F100" s="5" t="s">
        <v>48</v>
      </c>
      <c r="G100" s="5" t="s">
        <v>4</v>
      </c>
      <c r="H100" s="5" t="s">
        <v>53</v>
      </c>
      <c r="I100" s="3" t="s">
        <v>944</v>
      </c>
      <c r="J100" s="5" t="s">
        <v>842</v>
      </c>
      <c r="K100" s="3"/>
    </row>
    <row r="101" spans="1:11" ht="28.8" x14ac:dyDescent="0.3">
      <c r="A101" s="3" t="s">
        <v>945</v>
      </c>
      <c r="B101" s="3" t="s">
        <v>12</v>
      </c>
      <c r="C101" s="3" t="s">
        <v>12</v>
      </c>
      <c r="D101" s="3" t="s">
        <v>602</v>
      </c>
      <c r="E101" s="3" t="s">
        <v>604</v>
      </c>
      <c r="F101" s="5" t="s">
        <v>48</v>
      </c>
      <c r="G101" s="5" t="s">
        <v>4</v>
      </c>
      <c r="H101" s="5" t="s">
        <v>53</v>
      </c>
      <c r="I101" s="3" t="s">
        <v>944</v>
      </c>
      <c r="J101" s="5" t="s">
        <v>842</v>
      </c>
      <c r="K101" s="3"/>
    </row>
    <row r="102" spans="1:11" ht="28.8" x14ac:dyDescent="0.3">
      <c r="A102" s="3" t="s">
        <v>946</v>
      </c>
      <c r="B102" s="3" t="s">
        <v>12</v>
      </c>
      <c r="C102" s="3" t="s">
        <v>12</v>
      </c>
      <c r="D102" s="3" t="s">
        <v>608</v>
      </c>
      <c r="E102" s="3" t="s">
        <v>609</v>
      </c>
      <c r="F102" s="5" t="s">
        <v>48</v>
      </c>
      <c r="G102" s="5" t="s">
        <v>3</v>
      </c>
      <c r="H102" s="5" t="s">
        <v>53</v>
      </c>
      <c r="I102" s="3" t="s">
        <v>944</v>
      </c>
      <c r="J102" s="5" t="s">
        <v>842</v>
      </c>
      <c r="K102" s="3"/>
    </row>
    <row r="103" spans="1:11" x14ac:dyDescent="0.3">
      <c r="A103" s="3" t="s">
        <v>947</v>
      </c>
      <c r="B103" s="3" t="s">
        <v>12</v>
      </c>
      <c r="C103" s="3" t="s">
        <v>12</v>
      </c>
      <c r="D103" s="3" t="s">
        <v>613</v>
      </c>
      <c r="E103" s="3" t="s">
        <v>615</v>
      </c>
      <c r="F103" s="5" t="s">
        <v>48</v>
      </c>
      <c r="G103" s="5" t="s">
        <v>3</v>
      </c>
      <c r="H103" s="5" t="s">
        <v>53</v>
      </c>
      <c r="I103" s="3" t="s">
        <v>944</v>
      </c>
      <c r="J103" s="5" t="s">
        <v>842</v>
      </c>
      <c r="K103" s="3"/>
    </row>
    <row r="104" spans="1:11" x14ac:dyDescent="0.3">
      <c r="A104" s="3" t="s">
        <v>948</v>
      </c>
      <c r="B104" s="3" t="s">
        <v>12</v>
      </c>
      <c r="C104" s="3" t="s">
        <v>12</v>
      </c>
      <c r="D104" s="3" t="s">
        <v>620</v>
      </c>
      <c r="E104" s="3" t="s">
        <v>622</v>
      </c>
      <c r="F104" s="5" t="s">
        <v>48</v>
      </c>
      <c r="G104" s="5" t="s">
        <v>4</v>
      </c>
      <c r="H104" s="5" t="s">
        <v>53</v>
      </c>
      <c r="I104" s="3" t="s">
        <v>944</v>
      </c>
      <c r="J104" s="5" t="s">
        <v>842</v>
      </c>
      <c r="K104" s="3"/>
    </row>
    <row r="105" spans="1:11" x14ac:dyDescent="0.3">
      <c r="A105" s="3" t="s">
        <v>949</v>
      </c>
      <c r="B105" s="3" t="s">
        <v>12</v>
      </c>
      <c r="C105" s="3" t="s">
        <v>12</v>
      </c>
      <c r="D105" s="3" t="s">
        <v>625</v>
      </c>
      <c r="E105" s="3" t="s">
        <v>626</v>
      </c>
      <c r="F105" s="5" t="s">
        <v>48</v>
      </c>
      <c r="G105" s="5" t="s">
        <v>4</v>
      </c>
      <c r="H105" s="5" t="s">
        <v>53</v>
      </c>
      <c r="I105" s="3" t="s">
        <v>944</v>
      </c>
      <c r="J105" s="5" t="s">
        <v>842</v>
      </c>
      <c r="K105" s="3"/>
    </row>
    <row r="106" spans="1:11" ht="28.8" x14ac:dyDescent="0.3">
      <c r="A106" s="3" t="s">
        <v>950</v>
      </c>
      <c r="B106" s="3" t="s">
        <v>12</v>
      </c>
      <c r="C106" s="3" t="s">
        <v>12</v>
      </c>
      <c r="D106" s="3" t="s">
        <v>630</v>
      </c>
      <c r="E106" s="3" t="s">
        <v>631</v>
      </c>
      <c r="F106" s="5" t="s">
        <v>48</v>
      </c>
      <c r="G106" s="5" t="s">
        <v>4</v>
      </c>
      <c r="H106" s="5" t="s">
        <v>53</v>
      </c>
      <c r="I106" s="3" t="s">
        <v>944</v>
      </c>
      <c r="J106" s="5" t="s">
        <v>842</v>
      </c>
      <c r="K106" s="3"/>
    </row>
    <row r="107" spans="1:11" x14ac:dyDescent="0.3">
      <c r="A107" s="3" t="s">
        <v>951</v>
      </c>
      <c r="B107" s="3" t="s">
        <v>12</v>
      </c>
      <c r="C107" s="3" t="s">
        <v>12</v>
      </c>
      <c r="D107" s="3" t="s">
        <v>634</v>
      </c>
      <c r="E107" s="3" t="s">
        <v>636</v>
      </c>
      <c r="F107" s="5" t="s">
        <v>67</v>
      </c>
      <c r="G107" s="5" t="s">
        <v>4</v>
      </c>
      <c r="H107" s="5" t="s">
        <v>53</v>
      </c>
      <c r="I107" s="3" t="s">
        <v>944</v>
      </c>
      <c r="J107" s="5" t="s">
        <v>842</v>
      </c>
      <c r="K107" s="3"/>
    </row>
    <row r="108" spans="1:11" x14ac:dyDescent="0.3">
      <c r="A108" s="3" t="s">
        <v>952</v>
      </c>
      <c r="B108" s="3" t="s">
        <v>12</v>
      </c>
      <c r="C108" s="3" t="s">
        <v>12</v>
      </c>
      <c r="D108" s="3" t="s">
        <v>639</v>
      </c>
      <c r="E108" s="3" t="s">
        <v>640</v>
      </c>
      <c r="F108" s="5" t="s">
        <v>67</v>
      </c>
      <c r="G108" s="5" t="s">
        <v>4</v>
      </c>
      <c r="H108" s="5" t="s">
        <v>53</v>
      </c>
      <c r="I108" s="3" t="s">
        <v>944</v>
      </c>
      <c r="J108" s="5" t="s">
        <v>842</v>
      </c>
      <c r="K108" s="3"/>
    </row>
    <row r="109" spans="1:11" x14ac:dyDescent="0.3">
      <c r="A109" s="3" t="s">
        <v>953</v>
      </c>
      <c r="B109" s="3" t="s">
        <v>12</v>
      </c>
      <c r="C109" s="3" t="s">
        <v>12</v>
      </c>
      <c r="D109" s="3" t="s">
        <v>644</v>
      </c>
      <c r="E109" s="3" t="s">
        <v>646</v>
      </c>
      <c r="F109" s="5" t="s">
        <v>48</v>
      </c>
      <c r="G109" s="5" t="s">
        <v>3</v>
      </c>
      <c r="H109" s="5" t="s">
        <v>53</v>
      </c>
      <c r="I109" s="3" t="s">
        <v>944</v>
      </c>
      <c r="J109" s="5" t="s">
        <v>842</v>
      </c>
      <c r="K109" s="3"/>
    </row>
    <row r="110" spans="1:11" ht="28.8" x14ac:dyDescent="0.3">
      <c r="A110" s="3" t="s">
        <v>954</v>
      </c>
      <c r="B110" s="3" t="s">
        <v>12</v>
      </c>
      <c r="C110" s="3" t="s">
        <v>12</v>
      </c>
      <c r="D110" s="3" t="s">
        <v>649</v>
      </c>
      <c r="E110" s="3" t="s">
        <v>650</v>
      </c>
      <c r="F110" s="5" t="s">
        <v>48</v>
      </c>
      <c r="G110" s="5" t="s">
        <v>4</v>
      </c>
      <c r="H110" s="5" t="s">
        <v>53</v>
      </c>
      <c r="I110" s="3" t="s">
        <v>944</v>
      </c>
      <c r="J110" s="5" t="s">
        <v>842</v>
      </c>
      <c r="K110" s="3"/>
    </row>
    <row r="111" spans="1:11" ht="28.8" x14ac:dyDescent="0.3">
      <c r="A111" s="3" t="s">
        <v>955</v>
      </c>
      <c r="B111" s="3" t="s">
        <v>12</v>
      </c>
      <c r="C111" s="3" t="s">
        <v>12</v>
      </c>
      <c r="D111" s="3" t="s">
        <v>654</v>
      </c>
      <c r="E111" s="3" t="s">
        <v>655</v>
      </c>
      <c r="F111" s="5" t="s">
        <v>110</v>
      </c>
      <c r="G111" s="5" t="s">
        <v>4</v>
      </c>
      <c r="H111" s="5" t="s">
        <v>53</v>
      </c>
      <c r="I111" s="3" t="s">
        <v>944</v>
      </c>
      <c r="J111" s="5" t="s">
        <v>842</v>
      </c>
      <c r="K111" s="3"/>
    </row>
    <row r="112" spans="1:11" x14ac:dyDescent="0.3">
      <c r="A112" s="3" t="s">
        <v>956</v>
      </c>
      <c r="B112" s="3" t="s">
        <v>660</v>
      </c>
      <c r="C112" s="3" t="s">
        <v>13</v>
      </c>
      <c r="D112" s="3" t="s">
        <v>659</v>
      </c>
      <c r="E112" s="3" t="s">
        <v>661</v>
      </c>
      <c r="F112" s="5" t="s">
        <v>48</v>
      </c>
      <c r="G112" s="5" t="s">
        <v>3</v>
      </c>
      <c r="H112" s="5" t="s">
        <v>53</v>
      </c>
      <c r="I112" s="3" t="s">
        <v>957</v>
      </c>
      <c r="J112" s="5" t="s">
        <v>842</v>
      </c>
      <c r="K112" s="3"/>
    </row>
    <row r="113" spans="1:11" x14ac:dyDescent="0.3">
      <c r="A113" s="3" t="s">
        <v>958</v>
      </c>
      <c r="B113" s="3" t="s">
        <v>660</v>
      </c>
      <c r="C113" s="3" t="s">
        <v>13</v>
      </c>
      <c r="D113" s="3" t="s">
        <v>663</v>
      </c>
      <c r="E113" s="3" t="s">
        <v>664</v>
      </c>
      <c r="F113" s="5" t="s">
        <v>67</v>
      </c>
      <c r="G113" s="5" t="s">
        <v>4</v>
      </c>
      <c r="H113" s="5" t="s">
        <v>53</v>
      </c>
      <c r="I113" s="3" t="s">
        <v>957</v>
      </c>
      <c r="J113" s="5" t="s">
        <v>842</v>
      </c>
      <c r="K113" s="3"/>
    </row>
    <row r="114" spans="1:11" x14ac:dyDescent="0.3">
      <c r="A114" s="3" t="s">
        <v>959</v>
      </c>
      <c r="B114" s="3" t="s">
        <v>660</v>
      </c>
      <c r="C114" s="3" t="s">
        <v>13</v>
      </c>
      <c r="D114" s="3" t="s">
        <v>668</v>
      </c>
      <c r="E114" s="3" t="s">
        <v>669</v>
      </c>
      <c r="F114" s="5" t="s">
        <v>67</v>
      </c>
      <c r="G114" s="5" t="s">
        <v>4</v>
      </c>
      <c r="H114" s="5" t="s">
        <v>53</v>
      </c>
      <c r="I114" s="3" t="s">
        <v>957</v>
      </c>
      <c r="J114" s="5" t="s">
        <v>842</v>
      </c>
      <c r="K114" s="3"/>
    </row>
    <row r="115" spans="1:11" x14ac:dyDescent="0.3">
      <c r="A115" s="3" t="s">
        <v>960</v>
      </c>
      <c r="B115" s="3" t="s">
        <v>660</v>
      </c>
      <c r="C115" s="3" t="s">
        <v>13</v>
      </c>
      <c r="D115" s="3" t="s">
        <v>671</v>
      </c>
      <c r="E115" s="3" t="s">
        <v>672</v>
      </c>
      <c r="F115" s="5" t="s">
        <v>110</v>
      </c>
      <c r="G115" s="5" t="s">
        <v>4</v>
      </c>
      <c r="H115" s="5" t="s">
        <v>53</v>
      </c>
      <c r="I115" s="3" t="s">
        <v>957</v>
      </c>
      <c r="J115" s="5" t="s">
        <v>842</v>
      </c>
      <c r="K115" s="3"/>
    </row>
    <row r="116" spans="1:11" x14ac:dyDescent="0.3">
      <c r="A116" s="3" t="s">
        <v>961</v>
      </c>
      <c r="B116" s="3" t="s">
        <v>660</v>
      </c>
      <c r="C116" s="3" t="s">
        <v>13</v>
      </c>
      <c r="D116" s="3" t="s">
        <v>674</v>
      </c>
      <c r="E116" s="3" t="s">
        <v>675</v>
      </c>
      <c r="F116" s="5" t="s">
        <v>67</v>
      </c>
      <c r="G116" s="5" t="s">
        <v>4</v>
      </c>
      <c r="H116" s="5" t="s">
        <v>53</v>
      </c>
      <c r="I116" s="3" t="s">
        <v>957</v>
      </c>
      <c r="J116" s="5" t="s">
        <v>842</v>
      </c>
      <c r="K116" s="3"/>
    </row>
    <row r="117" spans="1:11" x14ac:dyDescent="0.3">
      <c r="A117" s="3" t="s">
        <v>962</v>
      </c>
      <c r="B117" s="3" t="s">
        <v>660</v>
      </c>
      <c r="C117" s="3" t="s">
        <v>13</v>
      </c>
      <c r="D117" s="3" t="s">
        <v>678</v>
      </c>
      <c r="E117" s="3" t="s">
        <v>679</v>
      </c>
      <c r="F117" s="5" t="s">
        <v>67</v>
      </c>
      <c r="G117" s="5" t="s">
        <v>4</v>
      </c>
      <c r="H117" s="5" t="s">
        <v>53</v>
      </c>
      <c r="I117" s="3" t="s">
        <v>957</v>
      </c>
      <c r="J117" s="5" t="s">
        <v>842</v>
      </c>
      <c r="K117" s="3"/>
    </row>
    <row r="118" spans="1:11" x14ac:dyDescent="0.3">
      <c r="A118" s="3" t="s">
        <v>963</v>
      </c>
      <c r="B118" s="3" t="s">
        <v>660</v>
      </c>
      <c r="C118" s="3" t="s">
        <v>13</v>
      </c>
      <c r="D118" s="3" t="s">
        <v>681</v>
      </c>
      <c r="E118" s="3" t="s">
        <v>683</v>
      </c>
      <c r="F118" s="5" t="s">
        <v>48</v>
      </c>
      <c r="G118" s="5" t="s">
        <v>4</v>
      </c>
      <c r="H118" s="5" t="s">
        <v>53</v>
      </c>
      <c r="I118" s="3" t="s">
        <v>957</v>
      </c>
      <c r="J118" s="5" t="s">
        <v>842</v>
      </c>
      <c r="K118" s="3"/>
    </row>
    <row r="119" spans="1:11" x14ac:dyDescent="0.3">
      <c r="A119" s="3" t="s">
        <v>964</v>
      </c>
      <c r="B119" s="3" t="s">
        <v>660</v>
      </c>
      <c r="C119" s="3" t="s">
        <v>13</v>
      </c>
      <c r="D119" s="3" t="s">
        <v>687</v>
      </c>
      <c r="E119" s="3" t="s">
        <v>688</v>
      </c>
      <c r="F119" s="5" t="s">
        <v>48</v>
      </c>
      <c r="G119" s="5" t="s">
        <v>4</v>
      </c>
      <c r="H119" s="5" t="s">
        <v>53</v>
      </c>
      <c r="I119" s="3" t="s">
        <v>957</v>
      </c>
      <c r="J119" s="5" t="s">
        <v>842</v>
      </c>
      <c r="K119" s="3"/>
    </row>
    <row r="120" spans="1:11" x14ac:dyDescent="0.3">
      <c r="A120" s="3" t="s">
        <v>965</v>
      </c>
      <c r="B120" s="3" t="s">
        <v>660</v>
      </c>
      <c r="C120" s="3" t="s">
        <v>13</v>
      </c>
      <c r="D120" s="3" t="s">
        <v>692</v>
      </c>
      <c r="E120" s="3" t="s">
        <v>693</v>
      </c>
      <c r="F120" s="5" t="s">
        <v>48</v>
      </c>
      <c r="G120" s="5" t="s">
        <v>4</v>
      </c>
      <c r="H120" s="5" t="s">
        <v>53</v>
      </c>
      <c r="I120" s="3" t="s">
        <v>957</v>
      </c>
      <c r="J120" s="5" t="s">
        <v>842</v>
      </c>
      <c r="K120" s="3"/>
    </row>
    <row r="121" spans="1:11" x14ac:dyDescent="0.3">
      <c r="A121" s="3" t="s">
        <v>966</v>
      </c>
      <c r="B121" s="3" t="s">
        <v>660</v>
      </c>
      <c r="C121" s="3" t="s">
        <v>13</v>
      </c>
      <c r="D121" s="3" t="s">
        <v>697</v>
      </c>
      <c r="E121" s="3" t="s">
        <v>699</v>
      </c>
      <c r="F121" s="5" t="s">
        <v>110</v>
      </c>
      <c r="G121" s="5" t="s">
        <v>4</v>
      </c>
      <c r="H121" s="5" t="s">
        <v>53</v>
      </c>
      <c r="I121" s="3" t="s">
        <v>957</v>
      </c>
      <c r="J121" s="5" t="s">
        <v>842</v>
      </c>
      <c r="K121" s="3"/>
    </row>
    <row r="122" spans="1:11" ht="28.8" x14ac:dyDescent="0.3">
      <c r="A122" s="3" t="s">
        <v>967</v>
      </c>
      <c r="B122" s="3" t="s">
        <v>660</v>
      </c>
      <c r="C122" s="3" t="s">
        <v>13</v>
      </c>
      <c r="D122" s="3" t="s">
        <v>703</v>
      </c>
      <c r="E122" s="3" t="s">
        <v>705</v>
      </c>
      <c r="F122" s="5" t="s">
        <v>110</v>
      </c>
      <c r="G122" s="5" t="s">
        <v>4</v>
      </c>
      <c r="H122" s="5" t="s">
        <v>53</v>
      </c>
      <c r="I122" s="3" t="s">
        <v>957</v>
      </c>
      <c r="J122" s="5" t="s">
        <v>842</v>
      </c>
      <c r="K122" s="3"/>
    </row>
    <row r="123" spans="1:11" ht="28.8" x14ac:dyDescent="0.3">
      <c r="A123" s="3" t="s">
        <v>968</v>
      </c>
      <c r="B123" s="3" t="s">
        <v>660</v>
      </c>
      <c r="C123" s="3" t="s">
        <v>13</v>
      </c>
      <c r="D123" s="3" t="s">
        <v>710</v>
      </c>
      <c r="E123" s="3" t="s">
        <v>711</v>
      </c>
      <c r="F123" s="5" t="s">
        <v>110</v>
      </c>
      <c r="G123" s="5" t="s">
        <v>4</v>
      </c>
      <c r="H123" s="5" t="s">
        <v>53</v>
      </c>
      <c r="I123" s="3" t="s">
        <v>957</v>
      </c>
      <c r="J123" s="5" t="s">
        <v>842</v>
      </c>
      <c r="K123" s="3"/>
    </row>
    <row r="124" spans="1:11" ht="28.8" x14ac:dyDescent="0.3">
      <c r="A124" s="3" t="s">
        <v>969</v>
      </c>
      <c r="B124" s="3" t="s">
        <v>718</v>
      </c>
      <c r="C124" s="3" t="s">
        <v>14</v>
      </c>
      <c r="D124" s="3" t="s">
        <v>716</v>
      </c>
      <c r="E124" s="3" t="s">
        <v>719</v>
      </c>
      <c r="F124" s="5" t="s">
        <v>48</v>
      </c>
      <c r="G124" s="5" t="s">
        <v>3</v>
      </c>
      <c r="H124" s="5" t="s">
        <v>53</v>
      </c>
      <c r="I124" s="3" t="s">
        <v>970</v>
      </c>
      <c r="J124" s="5" t="s">
        <v>842</v>
      </c>
      <c r="K124" s="3"/>
    </row>
    <row r="125" spans="1:11" ht="28.8" x14ac:dyDescent="0.3">
      <c r="A125" s="3" t="s">
        <v>971</v>
      </c>
      <c r="B125" s="3" t="s">
        <v>726</v>
      </c>
      <c r="C125" s="3" t="s">
        <v>14</v>
      </c>
      <c r="D125" s="3" t="s">
        <v>725</v>
      </c>
      <c r="E125" s="3" t="s">
        <v>727</v>
      </c>
      <c r="F125" s="5" t="s">
        <v>48</v>
      </c>
      <c r="G125" s="5" t="s">
        <v>4</v>
      </c>
      <c r="H125" s="5" t="s">
        <v>53</v>
      </c>
      <c r="I125" s="3" t="s">
        <v>970</v>
      </c>
      <c r="J125" s="5" t="s">
        <v>842</v>
      </c>
      <c r="K125" s="3"/>
    </row>
    <row r="126" spans="1:11" ht="28.8" x14ac:dyDescent="0.3">
      <c r="A126" s="3" t="s">
        <v>972</v>
      </c>
      <c r="B126" s="3" t="s">
        <v>732</v>
      </c>
      <c r="C126" s="3" t="s">
        <v>14</v>
      </c>
      <c r="D126" s="3" t="s">
        <v>731</v>
      </c>
      <c r="E126" s="3" t="s">
        <v>733</v>
      </c>
      <c r="F126" s="5" t="s">
        <v>48</v>
      </c>
      <c r="G126" s="5" t="s">
        <v>4</v>
      </c>
      <c r="H126" s="5" t="s">
        <v>53</v>
      </c>
      <c r="I126" s="3" t="s">
        <v>970</v>
      </c>
      <c r="J126" s="5" t="s">
        <v>842</v>
      </c>
      <c r="K126" s="3"/>
    </row>
    <row r="127" spans="1:11" ht="28.8" x14ac:dyDescent="0.3">
      <c r="A127" s="3" t="s">
        <v>973</v>
      </c>
      <c r="B127" s="3" t="s">
        <v>739</v>
      </c>
      <c r="C127" s="3" t="s">
        <v>14</v>
      </c>
      <c r="D127" s="3" t="s">
        <v>738</v>
      </c>
      <c r="E127" s="3" t="s">
        <v>740</v>
      </c>
      <c r="F127" s="5" t="s">
        <v>48</v>
      </c>
      <c r="G127" s="5" t="s">
        <v>3</v>
      </c>
      <c r="H127" s="5" t="s">
        <v>53</v>
      </c>
      <c r="I127" s="3" t="s">
        <v>970</v>
      </c>
      <c r="J127" s="5" t="s">
        <v>842</v>
      </c>
      <c r="K127" s="3"/>
    </row>
    <row r="128" spans="1:11" ht="28.8" x14ac:dyDescent="0.3">
      <c r="A128" s="3" t="s">
        <v>974</v>
      </c>
      <c r="B128" s="3" t="s">
        <v>745</v>
      </c>
      <c r="C128" s="3" t="s">
        <v>14</v>
      </c>
      <c r="D128" s="3" t="s">
        <v>744</v>
      </c>
      <c r="E128" s="3" t="s">
        <v>746</v>
      </c>
      <c r="F128" s="5" t="s">
        <v>48</v>
      </c>
      <c r="G128" s="5" t="s">
        <v>3</v>
      </c>
      <c r="H128" s="5" t="s">
        <v>53</v>
      </c>
      <c r="I128" s="3" t="s">
        <v>970</v>
      </c>
      <c r="J128" s="5" t="s">
        <v>842</v>
      </c>
      <c r="K128" s="3"/>
    </row>
    <row r="129" spans="1:11" ht="28.8" x14ac:dyDescent="0.3">
      <c r="A129" s="3" t="s">
        <v>975</v>
      </c>
      <c r="B129" s="3" t="s">
        <v>751</v>
      </c>
      <c r="C129" s="3" t="s">
        <v>14</v>
      </c>
      <c r="D129" s="3" t="s">
        <v>750</v>
      </c>
      <c r="E129" s="3" t="s">
        <v>752</v>
      </c>
      <c r="F129" s="5" t="s">
        <v>48</v>
      </c>
      <c r="G129" s="5" t="s">
        <v>4</v>
      </c>
      <c r="H129" s="5" t="s">
        <v>53</v>
      </c>
      <c r="I129" s="3" t="s">
        <v>970</v>
      </c>
      <c r="J129" s="5" t="s">
        <v>842</v>
      </c>
      <c r="K129" s="3"/>
    </row>
    <row r="130" spans="1:11" ht="28.8" x14ac:dyDescent="0.3">
      <c r="A130" s="3" t="s">
        <v>976</v>
      </c>
      <c r="B130" s="3" t="s">
        <v>757</v>
      </c>
      <c r="C130" s="3" t="s">
        <v>14</v>
      </c>
      <c r="D130" s="3" t="s">
        <v>756</v>
      </c>
      <c r="E130" s="3" t="s">
        <v>758</v>
      </c>
      <c r="F130" s="5" t="s">
        <v>48</v>
      </c>
      <c r="G130" s="5" t="s">
        <v>4</v>
      </c>
      <c r="H130" s="5" t="s">
        <v>53</v>
      </c>
      <c r="I130" s="3" t="s">
        <v>970</v>
      </c>
      <c r="J130" s="5" t="s">
        <v>842</v>
      </c>
      <c r="K130" s="3"/>
    </row>
    <row r="131" spans="1:11" ht="28.8" x14ac:dyDescent="0.3">
      <c r="A131" s="3" t="s">
        <v>977</v>
      </c>
      <c r="B131" s="3" t="s">
        <v>763</v>
      </c>
      <c r="C131" s="3" t="s">
        <v>14</v>
      </c>
      <c r="D131" s="3" t="s">
        <v>762</v>
      </c>
      <c r="E131" s="3" t="s">
        <v>764</v>
      </c>
      <c r="F131" s="5" t="s">
        <v>67</v>
      </c>
      <c r="G131" s="5" t="s">
        <v>4</v>
      </c>
      <c r="H131" s="5" t="s">
        <v>53</v>
      </c>
      <c r="I131" s="3" t="s">
        <v>970</v>
      </c>
      <c r="J131" s="5" t="s">
        <v>842</v>
      </c>
      <c r="K131" s="3"/>
    </row>
    <row r="132" spans="1:11" ht="28.8" x14ac:dyDescent="0.3">
      <c r="A132" s="3" t="s">
        <v>978</v>
      </c>
      <c r="B132" s="3" t="s">
        <v>769</v>
      </c>
      <c r="C132" s="3" t="s">
        <v>14</v>
      </c>
      <c r="D132" s="3" t="s">
        <v>768</v>
      </c>
      <c r="E132" s="3" t="s">
        <v>770</v>
      </c>
      <c r="F132" s="5" t="s">
        <v>67</v>
      </c>
      <c r="G132" s="5" t="s">
        <v>4</v>
      </c>
      <c r="H132" s="5" t="s">
        <v>53</v>
      </c>
      <c r="I132" s="3" t="s">
        <v>970</v>
      </c>
      <c r="J132" s="5" t="s">
        <v>842</v>
      </c>
      <c r="K132" s="3"/>
    </row>
    <row r="133" spans="1:11" ht="28.8" x14ac:dyDescent="0.3">
      <c r="A133" s="3" t="s">
        <v>979</v>
      </c>
      <c r="B133" s="3" t="s">
        <v>776</v>
      </c>
      <c r="C133" s="3" t="s">
        <v>14</v>
      </c>
      <c r="D133" s="3" t="s">
        <v>775</v>
      </c>
      <c r="E133" s="3" t="s">
        <v>777</v>
      </c>
      <c r="F133" s="5" t="s">
        <v>67</v>
      </c>
      <c r="G133" s="5" t="s">
        <v>4</v>
      </c>
      <c r="H133" s="5" t="s">
        <v>53</v>
      </c>
      <c r="I133" s="3" t="s">
        <v>970</v>
      </c>
      <c r="J133" s="5" t="s">
        <v>842</v>
      </c>
      <c r="K133" s="3"/>
    </row>
    <row r="134" spans="1:11" ht="28.8" x14ac:dyDescent="0.3">
      <c r="A134" s="3" t="s">
        <v>980</v>
      </c>
      <c r="B134" s="3" t="s">
        <v>783</v>
      </c>
      <c r="C134" s="3" t="s">
        <v>14</v>
      </c>
      <c r="D134" s="3" t="s">
        <v>782</v>
      </c>
      <c r="E134" s="3" t="s">
        <v>784</v>
      </c>
      <c r="F134" s="5" t="s">
        <v>67</v>
      </c>
      <c r="G134" s="5" t="s">
        <v>4</v>
      </c>
      <c r="H134" s="5" t="s">
        <v>53</v>
      </c>
      <c r="I134" s="3" t="s">
        <v>970</v>
      </c>
      <c r="J134" s="5" t="s">
        <v>842</v>
      </c>
      <c r="K134" s="3"/>
    </row>
    <row r="135" spans="1:11" ht="28.8" x14ac:dyDescent="0.3">
      <c r="A135" s="3" t="s">
        <v>981</v>
      </c>
      <c r="B135" s="3" t="s">
        <v>789</v>
      </c>
      <c r="C135" s="3" t="s">
        <v>14</v>
      </c>
      <c r="D135" s="3" t="s">
        <v>788</v>
      </c>
      <c r="E135" s="3" t="s">
        <v>790</v>
      </c>
      <c r="F135" s="5" t="s">
        <v>110</v>
      </c>
      <c r="G135" s="5" t="s">
        <v>4</v>
      </c>
      <c r="H135" s="5" t="s">
        <v>53</v>
      </c>
      <c r="I135" s="3" t="s">
        <v>970</v>
      </c>
      <c r="J135" s="5" t="s">
        <v>842</v>
      </c>
      <c r="K135" s="3"/>
    </row>
    <row r="136" spans="1:11" ht="28.8" x14ac:dyDescent="0.3">
      <c r="A136" s="3" t="s">
        <v>982</v>
      </c>
      <c r="B136" s="3" t="s">
        <v>795</v>
      </c>
      <c r="C136" s="3" t="s">
        <v>14</v>
      </c>
      <c r="D136" s="3" t="s">
        <v>794</v>
      </c>
      <c r="E136" s="3" t="s">
        <v>796</v>
      </c>
      <c r="F136" s="5" t="s">
        <v>67</v>
      </c>
      <c r="G136" s="5" t="s">
        <v>4</v>
      </c>
      <c r="H136" s="5" t="s">
        <v>53</v>
      </c>
      <c r="I136" s="3" t="s">
        <v>970</v>
      </c>
      <c r="J136" s="5" t="s">
        <v>842</v>
      </c>
      <c r="K136" s="3"/>
    </row>
    <row r="137" spans="1:11" ht="28.8" x14ac:dyDescent="0.3">
      <c r="A137" s="3" t="s">
        <v>983</v>
      </c>
      <c r="B137" s="3" t="s">
        <v>801</v>
      </c>
      <c r="C137" s="3" t="s">
        <v>14</v>
      </c>
      <c r="D137" s="3" t="s">
        <v>800</v>
      </c>
      <c r="E137" s="3" t="s">
        <v>802</v>
      </c>
      <c r="F137" s="5" t="s">
        <v>67</v>
      </c>
      <c r="G137" s="5" t="s">
        <v>4</v>
      </c>
      <c r="H137" s="5" t="s">
        <v>53</v>
      </c>
      <c r="I137" s="3" t="s">
        <v>970</v>
      </c>
      <c r="J137" s="5" t="s">
        <v>842</v>
      </c>
      <c r="K137" s="3"/>
    </row>
    <row r="138" spans="1:11" ht="28.8" x14ac:dyDescent="0.3">
      <c r="A138" s="3" t="s">
        <v>984</v>
      </c>
      <c r="B138" s="3" t="s">
        <v>807</v>
      </c>
      <c r="C138" s="3" t="s">
        <v>14</v>
      </c>
      <c r="D138" s="3" t="s">
        <v>806</v>
      </c>
      <c r="E138" s="3" t="s">
        <v>808</v>
      </c>
      <c r="F138" s="5" t="s">
        <v>67</v>
      </c>
      <c r="G138" s="5" t="s">
        <v>4</v>
      </c>
      <c r="H138" s="5" t="s">
        <v>53</v>
      </c>
      <c r="I138" s="3" t="s">
        <v>970</v>
      </c>
      <c r="J138" s="5" t="s">
        <v>842</v>
      </c>
      <c r="K138" s="3"/>
    </row>
  </sheetData>
  <conditionalFormatting sqref="J2:J138">
    <cfRule type="cellIs" dxfId="1" priority="1" operator="equal">
      <formula>"Automated"</formula>
    </cfRule>
    <cfRule type="cellIs" dxfId="0" priority="2" operator="equal">
      <formula>"Planned"</formula>
    </cfRule>
  </conditionalFormatting>
  <dataValidations count="1">
    <dataValidation type="list" sqref="J2:J138" xr:uid="{00000000-0002-0000-0900-000000000000}">
      <formula1>"Planned,Automated,Manual Only,Blocked"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Dashboard</vt:lpstr>
      <vt:lpstr>Homepage</vt:lpstr>
      <vt:lpstr>Signup_Login</vt:lpstr>
      <vt:lpstr>Products</vt:lpstr>
      <vt:lpstr>Cart</vt:lpstr>
      <vt:lpstr>Checkout</vt:lpstr>
      <vt:lpstr>Contact_Us</vt:lpstr>
      <vt:lpstr>Combined_Flows</vt:lpstr>
      <vt:lpstr>Bug_Report</vt:lpstr>
      <vt:lpstr>Traceability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snk rian</cp:lastModifiedBy>
  <dcterms:created xsi:type="dcterms:W3CDTF">2026-04-23T08:40:28Z</dcterms:created>
  <dcterms:modified xsi:type="dcterms:W3CDTF">2026-04-29T19:45:12Z</dcterms:modified>
</cp:coreProperties>
</file>